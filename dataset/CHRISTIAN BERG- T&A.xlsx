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rch\Desktop\STATUS\"/>
    </mc:Choice>
  </mc:AlternateContent>
  <bookViews>
    <workbookView xWindow="0" yWindow="0" windowWidth="19200" windowHeight="6900"/>
  </bookViews>
  <sheets>
    <sheet name="CHRISTIAN BERG" sheetId="2" r:id="rId1"/>
  </sheets>
  <definedNames>
    <definedName name="_xlnm.Print_Area" localSheetId="0">'CHRISTIAN BERG'!$A$1:$AL$13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8" i="2" l="1"/>
  <c r="X12" i="2"/>
  <c r="AD12" i="2"/>
  <c r="Y8" i="2"/>
  <c r="M8" i="2" l="1"/>
  <c r="M12" i="2" l="1"/>
  <c r="M13" i="2" s="1"/>
  <c r="L12" i="2" l="1"/>
  <c r="L8" i="2" l="1"/>
  <c r="L13" i="2" l="1"/>
</calcChain>
</file>

<file path=xl/sharedStrings.xml><?xml version="1.0" encoding="utf-8"?>
<sst xmlns="http://schemas.openxmlformats.org/spreadsheetml/2006/main" count="58" uniqueCount="42">
  <si>
    <t>S NO</t>
  </si>
  <si>
    <t>IMAGE</t>
  </si>
  <si>
    <t>COLOR</t>
  </si>
  <si>
    <t>ORDER QTY</t>
  </si>
  <si>
    <t>PLAN QTY</t>
  </si>
  <si>
    <t xml:space="preserve">PLAN </t>
  </si>
  <si>
    <t>APPD</t>
  </si>
  <si>
    <t>PLAN</t>
  </si>
  <si>
    <t>630 - NAVY</t>
  </si>
  <si>
    <t>100% ORG COT ( OCS-100 ), SLUB JERSEY, 155 GSM</t>
  </si>
  <si>
    <t>ACT</t>
  </si>
  <si>
    <t>422 - MAGENTA</t>
  </si>
  <si>
    <t>840 - WHITE SAND</t>
  </si>
  <si>
    <t>940 - DEEP TAUPE</t>
  </si>
  <si>
    <t>DESCRIPTION</t>
  </si>
  <si>
    <t>P &amp; C     CHRISIAN BERG WOMAN  - WINTER</t>
  </si>
  <si>
    <t>T-SLANIA R LONG,  D-T-SHIRT 3/4</t>
  </si>
  <si>
    <t>T-SLANIA LONG BP,                    D-T-SHIRT 3/4</t>
  </si>
  <si>
    <t>940 - DEEP TAUPE /  840 WHITE SAND</t>
  </si>
  <si>
    <t>732 - SMOKE PINE / 630 NAVY</t>
  </si>
  <si>
    <t xml:space="preserve">630 - NAVY / 810 OFF WHITE </t>
  </si>
  <si>
    <t>FABRIC</t>
  </si>
  <si>
    <t>IO NO</t>
  </si>
  <si>
    <t>STYLE</t>
  </si>
  <si>
    <t>PO DATE</t>
  </si>
  <si>
    <t>EX FAC DATE</t>
  </si>
  <si>
    <t>PRICE</t>
  </si>
  <si>
    <t>ARTICLE</t>
  </si>
  <si>
    <t>D-T-SHIRT 3/4</t>
  </si>
  <si>
    <t>SUB</t>
  </si>
  <si>
    <t>SIZE SET</t>
  </si>
  <si>
    <t>LOT CARD</t>
  </si>
  <si>
    <t>CUTTING</t>
  </si>
  <si>
    <t>START PLAN</t>
  </si>
  <si>
    <t>START ACT</t>
  </si>
  <si>
    <t>END PLAN</t>
  </si>
  <si>
    <t>END ACT</t>
  </si>
  <si>
    <t>QTY</t>
  </si>
  <si>
    <t>SEWING</t>
  </si>
  <si>
    <t>FI</t>
  </si>
  <si>
    <t>RECVD</t>
  </si>
  <si>
    <t>FEEDING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</si>
</sst>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theme="1"/>
      <name val="Book Antiqua"/>
      <family val="1"/>
    </font>
    <font>
      <b/>
      <sz val="22"/>
      <color theme="1"/>
      <name val="Book Antiqua"/>
      <family val="1"/>
    </font>
    <font>
      <b/>
      <sz val="20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6" fontId="1" fillId="3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6" fontId="1" fillId="3" borderId="3" xfId="0" applyNumberFormat="1" applyFont="1" applyFill="1" applyBorder="1" applyAlignment="1">
      <alignment horizontal="center" vertical="center" wrapText="1"/>
    </xf>
    <xf numFmtId="16" fontId="1" fillId="3" borderId="8" xfId="0" applyNumberFormat="1" applyFont="1" applyFill="1" applyBorder="1" applyAlignment="1">
      <alignment horizontal="center" vertical="center" wrapText="1"/>
    </xf>
    <xf numFmtId="16" fontId="1" fillId="3" borderId="5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" fontId="1" fillId="0" borderId="3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63500</xdr:colOff>
      <xdr:row>3</xdr:row>
      <xdr:rowOff>584200</xdr:rowOff>
    </xdr:from>
    <xdr:to>
      <xdr:col>9</xdr:col>
      <xdr:colOff>2184399</xdr:colOff>
      <xdr:row>5</xdr:row>
      <xdr:rowOff>698500</xdr:rowOff>
    </xdr:to>
    <xdr:pic>
      <xdr:nvPicPr>
        <xdr:cNvPr id="36" name="Picture 35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137" r="8744"/>
        <a:stretch/>
      </xdr:blipFill>
      <xdr:spPr>
        <a:xfrm>
          <a:off x="10744200" y="3632200"/>
          <a:ext cx="2120899" cy="2146300"/>
        </a:xfrm>
        <a:prstGeom prst="rect">
          <a:avLst/>
        </a:prstGeom>
      </xdr:spPr>
    </xdr:pic>
    <xdr:clientData/>
  </xdr:twoCellAnchor>
  <xdr:twoCellAnchor editAs="oneCell">
    <xdr:from>
      <xdr:col>9</xdr:col>
      <xdr:colOff>88899</xdr:colOff>
      <xdr:row>8</xdr:row>
      <xdr:rowOff>482600</xdr:rowOff>
    </xdr:from>
    <xdr:to>
      <xdr:col>9</xdr:col>
      <xdr:colOff>2079764</xdr:colOff>
      <xdr:row>10</xdr:row>
      <xdr:rowOff>825500</xdr:rowOff>
    </xdr:to>
    <xdr:pic>
      <xdr:nvPicPr>
        <xdr:cNvPr id="37" name="Picture 36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581" t="4445" b="6111"/>
        <a:stretch/>
      </xdr:blipFill>
      <xdr:spPr>
        <a:xfrm>
          <a:off x="10769599" y="5283200"/>
          <a:ext cx="1990865" cy="237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"/>
  <sheetViews>
    <sheetView tabSelected="1" view="pageBreakPreview" zoomScale="50" zoomScaleNormal="100" zoomScaleSheetLayoutView="50" workbookViewId="0">
      <pane ySplit="3" topLeftCell="A4" activePane="bottomLeft" state="frozen"/>
      <selection pane="bottomLeft" activeCell="AD8" sqref="AD8"/>
    </sheetView>
  </sheetViews>
  <sheetFormatPr defaultRowHeight="20.5" x14ac:dyDescent="0.35"/>
  <cols>
    <col min="1" max="1" width="6.7265625" style="3" customWidth="1"/>
    <col min="2" max="2" width="13.1796875" style="7" bestFit="1" customWidth="1"/>
    <col min="3" max="3" width="12.81640625" style="7" hidden="1" customWidth="1"/>
    <col min="4" max="4" width="13.1796875" style="7" customWidth="1"/>
    <col min="5" max="5" width="12.453125" style="7" hidden="1" customWidth="1"/>
    <col min="6" max="6" width="20.6328125" style="7" customWidth="1"/>
    <col min="7" max="7" width="21.54296875" style="7" customWidth="1"/>
    <col min="8" max="8" width="28.81640625" style="7" hidden="1" customWidth="1"/>
    <col min="9" max="9" width="22.90625" style="3" hidden="1" customWidth="1"/>
    <col min="10" max="10" width="32.1796875" style="3" customWidth="1"/>
    <col min="11" max="11" width="28.26953125" style="3" customWidth="1"/>
    <col min="12" max="13" width="15.6328125" style="3" customWidth="1"/>
    <col min="14" max="16" width="13.6328125" style="3" customWidth="1"/>
    <col min="17" max="30" width="13.6328125" style="7" customWidth="1"/>
    <col min="31" max="33" width="13.6328125" style="3" customWidth="1"/>
    <col min="34" max="34" width="11.6328125" style="3" customWidth="1"/>
    <col min="35" max="35" width="11.6328125" style="5" customWidth="1"/>
    <col min="36" max="37" width="11.6328125" style="7" customWidth="1"/>
    <col min="38" max="38" width="13.7265625" style="3" hidden="1" customWidth="1"/>
    <col min="39" max="16384" width="8.7265625" style="3"/>
  </cols>
  <sheetData>
    <row r="1" spans="1:38" ht="80" customHeight="1" x14ac:dyDescent="0.35">
      <c r="A1" s="46" t="s">
        <v>15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7"/>
    </row>
    <row r="2" spans="1:38" ht="80" customHeight="1" x14ac:dyDescent="0.35">
      <c r="A2" s="48" t="s">
        <v>0</v>
      </c>
      <c r="B2" s="34" t="s">
        <v>22</v>
      </c>
      <c r="C2" s="35" t="s">
        <v>24</v>
      </c>
      <c r="D2" s="33" t="s">
        <v>25</v>
      </c>
      <c r="E2" s="33" t="s">
        <v>26</v>
      </c>
      <c r="F2" s="34" t="s">
        <v>23</v>
      </c>
      <c r="G2" s="42" t="s">
        <v>27</v>
      </c>
      <c r="H2" s="34" t="s">
        <v>14</v>
      </c>
      <c r="I2" s="34" t="s">
        <v>21</v>
      </c>
      <c r="J2" s="32" t="s">
        <v>1</v>
      </c>
      <c r="K2" s="32" t="s">
        <v>2</v>
      </c>
      <c r="L2" s="48" t="s">
        <v>3</v>
      </c>
      <c r="M2" s="48" t="s">
        <v>4</v>
      </c>
      <c r="N2" s="32" t="s">
        <v>21</v>
      </c>
      <c r="O2" s="32"/>
      <c r="P2" s="32"/>
      <c r="Q2" s="29" t="s">
        <v>30</v>
      </c>
      <c r="R2" s="31"/>
      <c r="S2" s="29" t="s">
        <v>31</v>
      </c>
      <c r="T2" s="31"/>
      <c r="U2" s="29" t="s">
        <v>32</v>
      </c>
      <c r="V2" s="30"/>
      <c r="W2" s="30"/>
      <c r="X2" s="30"/>
      <c r="Y2" s="31"/>
      <c r="Z2" s="29" t="s">
        <v>41</v>
      </c>
      <c r="AA2" s="30"/>
      <c r="AB2" s="30"/>
      <c r="AC2" s="30"/>
      <c r="AD2" s="31"/>
      <c r="AE2" s="29" t="s">
        <v>38</v>
      </c>
      <c r="AF2" s="30"/>
      <c r="AG2" s="30"/>
      <c r="AH2" s="30"/>
      <c r="AI2" s="31"/>
      <c r="AJ2" s="32" t="s">
        <v>39</v>
      </c>
      <c r="AK2" s="32"/>
      <c r="AL2" s="49"/>
    </row>
    <row r="3" spans="1:38" ht="80" customHeight="1" x14ac:dyDescent="0.35">
      <c r="A3" s="48"/>
      <c r="B3" s="34"/>
      <c r="C3" s="36"/>
      <c r="D3" s="33"/>
      <c r="E3" s="33"/>
      <c r="F3" s="34"/>
      <c r="G3" s="43"/>
      <c r="H3" s="34"/>
      <c r="I3" s="34"/>
      <c r="J3" s="32"/>
      <c r="K3" s="32"/>
      <c r="L3" s="48"/>
      <c r="M3" s="48"/>
      <c r="N3" s="2" t="s">
        <v>5</v>
      </c>
      <c r="O3" s="2" t="s">
        <v>40</v>
      </c>
      <c r="P3" s="2" t="s">
        <v>6</v>
      </c>
      <c r="Q3" s="15" t="s">
        <v>7</v>
      </c>
      <c r="R3" s="15" t="s">
        <v>10</v>
      </c>
      <c r="S3" s="15" t="s">
        <v>7</v>
      </c>
      <c r="T3" s="15" t="s">
        <v>10</v>
      </c>
      <c r="U3" s="14" t="s">
        <v>33</v>
      </c>
      <c r="V3" s="14" t="s">
        <v>34</v>
      </c>
      <c r="W3" s="14" t="s">
        <v>35</v>
      </c>
      <c r="X3" s="14" t="s">
        <v>36</v>
      </c>
      <c r="Y3" s="15" t="s">
        <v>37</v>
      </c>
      <c r="Z3" s="24" t="s">
        <v>33</v>
      </c>
      <c r="AA3" s="24" t="s">
        <v>34</v>
      </c>
      <c r="AB3" s="24" t="s">
        <v>35</v>
      </c>
      <c r="AC3" s="24" t="s">
        <v>36</v>
      </c>
      <c r="AD3" s="23" t="s">
        <v>37</v>
      </c>
      <c r="AE3" s="14" t="s">
        <v>33</v>
      </c>
      <c r="AF3" s="14" t="s">
        <v>34</v>
      </c>
      <c r="AG3" s="14" t="s">
        <v>35</v>
      </c>
      <c r="AH3" s="14" t="s">
        <v>36</v>
      </c>
      <c r="AI3" s="15" t="s">
        <v>37</v>
      </c>
      <c r="AJ3" s="11" t="s">
        <v>7</v>
      </c>
      <c r="AK3" s="11" t="s">
        <v>29</v>
      </c>
      <c r="AL3" s="50"/>
    </row>
    <row r="4" spans="1:38" ht="80" customHeight="1" x14ac:dyDescent="0.35">
      <c r="A4" s="44">
        <v>1</v>
      </c>
      <c r="B4" s="44">
        <v>1063</v>
      </c>
      <c r="C4" s="51">
        <v>46063</v>
      </c>
      <c r="D4" s="51">
        <v>46147</v>
      </c>
      <c r="E4" s="52">
        <v>4.5</v>
      </c>
      <c r="F4" s="40" t="s">
        <v>17</v>
      </c>
      <c r="G4" s="27">
        <v>569510267</v>
      </c>
      <c r="H4" s="44" t="s">
        <v>28</v>
      </c>
      <c r="I4" s="40" t="s">
        <v>9</v>
      </c>
      <c r="J4" s="44"/>
      <c r="K4" s="1" t="s">
        <v>11</v>
      </c>
      <c r="L4" s="1">
        <v>2356</v>
      </c>
      <c r="M4" s="1">
        <v>2482</v>
      </c>
      <c r="N4" s="18">
        <v>46099</v>
      </c>
      <c r="O4" s="18">
        <v>46085</v>
      </c>
      <c r="P4" s="19">
        <v>46107</v>
      </c>
      <c r="Q4" s="37">
        <v>46090</v>
      </c>
      <c r="R4" s="37">
        <v>46095</v>
      </c>
      <c r="S4" s="19">
        <v>46102</v>
      </c>
      <c r="T4" s="19">
        <v>46087</v>
      </c>
      <c r="U4" s="19">
        <v>46093</v>
      </c>
      <c r="V4" s="19">
        <v>46097</v>
      </c>
      <c r="W4" s="19">
        <v>46108</v>
      </c>
      <c r="X4" s="19">
        <v>46099</v>
      </c>
      <c r="Y4" s="25">
        <v>2482</v>
      </c>
      <c r="Z4" s="19">
        <v>46099</v>
      </c>
      <c r="AA4" s="19">
        <v>46099</v>
      </c>
      <c r="AB4" s="19">
        <v>46113</v>
      </c>
      <c r="AC4" s="19">
        <v>46101</v>
      </c>
      <c r="AD4" s="25">
        <v>2481</v>
      </c>
      <c r="AE4" s="18">
        <v>46115</v>
      </c>
      <c r="AF4" s="18"/>
      <c r="AG4" s="18">
        <v>46127</v>
      </c>
      <c r="AH4" s="22"/>
      <c r="AI4" s="22"/>
      <c r="AJ4" s="18">
        <v>46134</v>
      </c>
      <c r="AK4" s="18"/>
      <c r="AL4" s="17"/>
    </row>
    <row r="5" spans="1:38" ht="80" customHeight="1" x14ac:dyDescent="0.35">
      <c r="A5" s="45"/>
      <c r="B5" s="45"/>
      <c r="C5" s="45"/>
      <c r="D5" s="45"/>
      <c r="E5" s="53"/>
      <c r="F5" s="41"/>
      <c r="G5" s="28"/>
      <c r="H5" s="45"/>
      <c r="I5" s="41"/>
      <c r="J5" s="45"/>
      <c r="K5" s="1" t="s">
        <v>8</v>
      </c>
      <c r="L5" s="1">
        <v>2356</v>
      </c>
      <c r="M5" s="1">
        <v>2482</v>
      </c>
      <c r="N5" s="18">
        <v>46099</v>
      </c>
      <c r="O5" s="18">
        <v>46094</v>
      </c>
      <c r="P5" s="19">
        <v>46107</v>
      </c>
      <c r="Q5" s="38"/>
      <c r="R5" s="38"/>
      <c r="S5" s="19">
        <v>46102</v>
      </c>
      <c r="T5" s="19">
        <v>46095</v>
      </c>
      <c r="U5" s="19">
        <v>46093</v>
      </c>
      <c r="V5" s="19">
        <v>46104</v>
      </c>
      <c r="W5" s="19">
        <v>46108</v>
      </c>
      <c r="X5" s="19">
        <v>46105</v>
      </c>
      <c r="Y5" s="21">
        <v>2482</v>
      </c>
      <c r="Z5" s="19">
        <v>46099</v>
      </c>
      <c r="AA5" s="19">
        <v>46105</v>
      </c>
      <c r="AB5" s="19">
        <v>46113</v>
      </c>
      <c r="AC5" s="19">
        <v>46113</v>
      </c>
      <c r="AD5" s="21">
        <v>2482</v>
      </c>
      <c r="AE5" s="18">
        <v>46115</v>
      </c>
      <c r="AF5" s="18"/>
      <c r="AG5" s="18">
        <v>46127</v>
      </c>
      <c r="AH5" s="22"/>
      <c r="AI5" s="22"/>
      <c r="AJ5" s="18">
        <v>46134</v>
      </c>
      <c r="AK5" s="20"/>
      <c r="AL5" s="17"/>
    </row>
    <row r="6" spans="1:38" ht="80" customHeight="1" x14ac:dyDescent="0.35">
      <c r="A6" s="45"/>
      <c r="B6" s="45"/>
      <c r="C6" s="45"/>
      <c r="D6" s="45"/>
      <c r="E6" s="53"/>
      <c r="F6" s="41"/>
      <c r="G6" s="28"/>
      <c r="H6" s="45"/>
      <c r="I6" s="41"/>
      <c r="J6" s="45"/>
      <c r="K6" s="1" t="s">
        <v>12</v>
      </c>
      <c r="L6" s="1">
        <v>2356</v>
      </c>
      <c r="M6" s="1">
        <v>2482</v>
      </c>
      <c r="N6" s="18">
        <v>46099</v>
      </c>
      <c r="O6" s="18">
        <v>46090</v>
      </c>
      <c r="P6" s="19">
        <v>46107</v>
      </c>
      <c r="Q6" s="38"/>
      <c r="R6" s="38"/>
      <c r="S6" s="19">
        <v>46102</v>
      </c>
      <c r="T6" s="19">
        <v>46091</v>
      </c>
      <c r="U6" s="19">
        <v>46093</v>
      </c>
      <c r="V6" s="19">
        <v>46100</v>
      </c>
      <c r="W6" s="19">
        <v>46108</v>
      </c>
      <c r="X6" s="19">
        <v>46102</v>
      </c>
      <c r="Y6" s="25">
        <v>2481</v>
      </c>
      <c r="Z6" s="19">
        <v>46099</v>
      </c>
      <c r="AA6" s="19">
        <v>46101</v>
      </c>
      <c r="AB6" s="19">
        <v>46113</v>
      </c>
      <c r="AC6" s="19">
        <v>46104</v>
      </c>
      <c r="AD6" s="25">
        <v>2481</v>
      </c>
      <c r="AE6" s="18">
        <v>46115</v>
      </c>
      <c r="AF6" s="18"/>
      <c r="AG6" s="18">
        <v>46127</v>
      </c>
      <c r="AH6" s="22"/>
      <c r="AI6" s="22"/>
      <c r="AJ6" s="18">
        <v>46134</v>
      </c>
      <c r="AK6" s="20"/>
      <c r="AL6" s="17"/>
    </row>
    <row r="7" spans="1:38" ht="80" customHeight="1" x14ac:dyDescent="0.35">
      <c r="A7" s="45"/>
      <c r="B7" s="45"/>
      <c r="C7" s="45"/>
      <c r="D7" s="45"/>
      <c r="E7" s="53"/>
      <c r="F7" s="41"/>
      <c r="G7" s="28"/>
      <c r="H7" s="45"/>
      <c r="I7" s="41"/>
      <c r="J7" s="45"/>
      <c r="K7" s="1" t="s">
        <v>13</v>
      </c>
      <c r="L7" s="1">
        <v>2356</v>
      </c>
      <c r="M7" s="1">
        <v>2482</v>
      </c>
      <c r="N7" s="18">
        <v>46099</v>
      </c>
      <c r="O7" s="18">
        <v>46100</v>
      </c>
      <c r="P7" s="19">
        <v>46107</v>
      </c>
      <c r="Q7" s="39"/>
      <c r="R7" s="39"/>
      <c r="S7" s="19">
        <v>46102</v>
      </c>
      <c r="T7" s="19">
        <v>46102</v>
      </c>
      <c r="U7" s="19">
        <v>46093</v>
      </c>
      <c r="V7" s="19">
        <v>46107</v>
      </c>
      <c r="W7" s="19">
        <v>46108</v>
      </c>
      <c r="X7" s="19">
        <v>46109</v>
      </c>
      <c r="Y7" s="25">
        <v>2482</v>
      </c>
      <c r="Z7" s="19">
        <v>46099</v>
      </c>
      <c r="AA7" s="19">
        <v>46050</v>
      </c>
      <c r="AB7" s="19">
        <v>46113</v>
      </c>
      <c r="AC7" s="19">
        <v>46113</v>
      </c>
      <c r="AD7" s="25">
        <v>2482</v>
      </c>
      <c r="AE7" s="18">
        <v>46115</v>
      </c>
      <c r="AF7" s="18"/>
      <c r="AG7" s="18">
        <v>46127</v>
      </c>
      <c r="AH7" s="22"/>
      <c r="AI7" s="22"/>
      <c r="AJ7" s="18">
        <v>46134</v>
      </c>
      <c r="AK7" s="20"/>
      <c r="AL7" s="17"/>
    </row>
    <row r="8" spans="1:38" ht="80" customHeight="1" x14ac:dyDescent="0.35">
      <c r="A8" s="2"/>
      <c r="B8" s="9"/>
      <c r="C8" s="9"/>
      <c r="D8" s="9"/>
      <c r="E8" s="9"/>
      <c r="F8" s="8"/>
      <c r="G8" s="9"/>
      <c r="H8" s="8"/>
      <c r="I8" s="2"/>
      <c r="J8" s="2"/>
      <c r="K8" s="2"/>
      <c r="L8" s="2">
        <f>SUM(L4:L7)</f>
        <v>9424</v>
      </c>
      <c r="M8" s="23">
        <f>SUM(M4:M7)</f>
        <v>9928</v>
      </c>
      <c r="N8" s="2"/>
      <c r="O8" s="2"/>
      <c r="P8" s="2"/>
      <c r="Q8" s="15"/>
      <c r="R8" s="15"/>
      <c r="S8" s="15"/>
      <c r="T8" s="15"/>
      <c r="U8" s="15"/>
      <c r="V8" s="15"/>
      <c r="W8" s="15"/>
      <c r="X8" s="15"/>
      <c r="Y8" s="15">
        <f>SUM(Y4:Y7)</f>
        <v>9927</v>
      </c>
      <c r="Z8" s="23"/>
      <c r="AA8" s="23"/>
      <c r="AB8" s="23"/>
      <c r="AC8" s="23"/>
      <c r="AD8" s="23">
        <f>SUM(AD4:AD7)</f>
        <v>9926</v>
      </c>
      <c r="AE8" s="2"/>
      <c r="AF8" s="2"/>
      <c r="AG8" s="2"/>
      <c r="AH8" s="2"/>
      <c r="AI8" s="6"/>
      <c r="AJ8" s="10"/>
      <c r="AK8" s="10"/>
      <c r="AL8" s="16"/>
    </row>
    <row r="9" spans="1:38" ht="80" customHeight="1" x14ac:dyDescent="0.35">
      <c r="A9" s="44">
        <v>2</v>
      </c>
      <c r="B9" s="44">
        <v>1064</v>
      </c>
      <c r="C9" s="51">
        <v>46063</v>
      </c>
      <c r="D9" s="51">
        <v>46147</v>
      </c>
      <c r="E9" s="52">
        <v>5.5</v>
      </c>
      <c r="F9" s="40" t="s">
        <v>16</v>
      </c>
      <c r="G9" s="44">
        <v>569510271</v>
      </c>
      <c r="H9" s="44" t="s">
        <v>28</v>
      </c>
      <c r="I9" s="40" t="s">
        <v>9</v>
      </c>
      <c r="J9" s="44"/>
      <c r="K9" s="13" t="s">
        <v>20</v>
      </c>
      <c r="L9" s="12">
        <v>2050</v>
      </c>
      <c r="M9" s="12">
        <v>2159</v>
      </c>
      <c r="N9" s="18">
        <v>46106</v>
      </c>
      <c r="O9" s="18">
        <v>46085</v>
      </c>
      <c r="P9" s="19">
        <v>46107</v>
      </c>
      <c r="Q9" s="37">
        <v>46114</v>
      </c>
      <c r="R9" s="37">
        <v>46116</v>
      </c>
      <c r="S9" s="19">
        <v>46109</v>
      </c>
      <c r="T9" s="19">
        <v>46116</v>
      </c>
      <c r="U9" s="19">
        <v>46128</v>
      </c>
      <c r="V9" s="19"/>
      <c r="W9" s="19">
        <v>46132</v>
      </c>
      <c r="X9" s="19"/>
      <c r="Y9" s="19"/>
      <c r="Z9" s="19">
        <v>46133</v>
      </c>
      <c r="AA9" s="19"/>
      <c r="AB9" s="19">
        <v>46136</v>
      </c>
      <c r="AC9" s="19"/>
      <c r="AD9" s="19"/>
      <c r="AE9" s="18">
        <v>46137</v>
      </c>
      <c r="AF9" s="18"/>
      <c r="AG9" s="18">
        <v>46142</v>
      </c>
      <c r="AH9" s="22"/>
      <c r="AI9" s="22"/>
      <c r="AJ9" s="18">
        <v>46147</v>
      </c>
      <c r="AK9" s="18"/>
      <c r="AL9" s="17"/>
    </row>
    <row r="10" spans="1:38" ht="80" customHeight="1" x14ac:dyDescent="0.35">
      <c r="A10" s="45"/>
      <c r="B10" s="45"/>
      <c r="C10" s="45"/>
      <c r="D10" s="45"/>
      <c r="E10" s="53"/>
      <c r="F10" s="41"/>
      <c r="G10" s="45"/>
      <c r="H10" s="45"/>
      <c r="I10" s="41"/>
      <c r="J10" s="45"/>
      <c r="K10" s="13" t="s">
        <v>19</v>
      </c>
      <c r="L10" s="12">
        <v>1576</v>
      </c>
      <c r="M10" s="12">
        <v>1661</v>
      </c>
      <c r="N10" s="18">
        <v>46109</v>
      </c>
      <c r="O10" s="18">
        <v>46109</v>
      </c>
      <c r="P10" s="19">
        <v>46107</v>
      </c>
      <c r="Q10" s="38"/>
      <c r="R10" s="38"/>
      <c r="S10" s="19">
        <v>46113</v>
      </c>
      <c r="T10" s="19">
        <v>46107</v>
      </c>
      <c r="U10" s="19">
        <v>46122</v>
      </c>
      <c r="V10" s="19"/>
      <c r="W10" s="19">
        <v>46127</v>
      </c>
      <c r="X10" s="19"/>
      <c r="Y10" s="19"/>
      <c r="Z10" s="19">
        <v>46128</v>
      </c>
      <c r="AA10" s="19"/>
      <c r="AB10" s="19">
        <v>46132</v>
      </c>
      <c r="AC10" s="19"/>
      <c r="AD10" s="19"/>
      <c r="AE10" s="18">
        <v>46132</v>
      </c>
      <c r="AF10" s="18"/>
      <c r="AG10" s="18">
        <v>46136</v>
      </c>
      <c r="AH10" s="22"/>
      <c r="AI10" s="22"/>
      <c r="AJ10" s="18">
        <v>46147</v>
      </c>
      <c r="AK10" s="20"/>
      <c r="AL10" s="17"/>
    </row>
    <row r="11" spans="1:38" s="4" customFormat="1" ht="80" customHeight="1" x14ac:dyDescent="0.35">
      <c r="A11" s="45"/>
      <c r="B11" s="45"/>
      <c r="C11" s="45"/>
      <c r="D11" s="45"/>
      <c r="E11" s="53"/>
      <c r="F11" s="41"/>
      <c r="G11" s="45"/>
      <c r="H11" s="45"/>
      <c r="I11" s="41"/>
      <c r="J11" s="45"/>
      <c r="K11" s="13" t="s">
        <v>18</v>
      </c>
      <c r="L11" s="12">
        <v>2050</v>
      </c>
      <c r="M11" s="12">
        <v>2159</v>
      </c>
      <c r="N11" s="18">
        <v>46102</v>
      </c>
      <c r="O11" s="18">
        <v>46109</v>
      </c>
      <c r="P11" s="19">
        <v>46107</v>
      </c>
      <c r="Q11" s="39"/>
      <c r="R11" s="39"/>
      <c r="S11" s="19">
        <v>46106</v>
      </c>
      <c r="T11" s="19">
        <v>46107</v>
      </c>
      <c r="U11" s="19">
        <v>46116</v>
      </c>
      <c r="V11" s="19">
        <v>46121</v>
      </c>
      <c r="W11" s="19">
        <v>46121</v>
      </c>
      <c r="X11" s="25">
        <v>1500</v>
      </c>
      <c r="Y11" s="19"/>
      <c r="Z11" s="19">
        <v>46122</v>
      </c>
      <c r="AA11" s="19">
        <v>46123</v>
      </c>
      <c r="AB11" s="19">
        <v>46126</v>
      </c>
      <c r="AC11" s="19"/>
      <c r="AD11" s="25">
        <v>1336</v>
      </c>
      <c r="AE11" s="18">
        <v>46127</v>
      </c>
      <c r="AF11" s="18"/>
      <c r="AG11" s="18">
        <v>46130</v>
      </c>
      <c r="AH11" s="22"/>
      <c r="AI11" s="22"/>
      <c r="AJ11" s="18">
        <v>46147</v>
      </c>
      <c r="AK11" s="20"/>
      <c r="AL11" s="17"/>
    </row>
    <row r="12" spans="1:38" ht="80" customHeight="1" x14ac:dyDescent="0.35">
      <c r="A12" s="2"/>
      <c r="B12" s="8"/>
      <c r="C12" s="8"/>
      <c r="D12" s="8"/>
      <c r="E12" s="8"/>
      <c r="F12" s="8"/>
      <c r="G12" s="9"/>
      <c r="H12" s="8"/>
      <c r="I12" s="2"/>
      <c r="J12" s="2"/>
      <c r="K12" s="2"/>
      <c r="L12" s="2">
        <f>SUM(L9:L11)</f>
        <v>5676</v>
      </c>
      <c r="M12" s="11">
        <f>SUM(M9:M11)</f>
        <v>5979</v>
      </c>
      <c r="N12" s="2"/>
      <c r="O12" s="2"/>
      <c r="P12" s="2"/>
      <c r="Q12" s="15"/>
      <c r="R12" s="15"/>
      <c r="S12" s="15"/>
      <c r="T12" s="15"/>
      <c r="U12" s="15"/>
      <c r="V12" s="15"/>
      <c r="W12" s="15"/>
      <c r="X12" s="26">
        <f>SUM(X11)</f>
        <v>1500</v>
      </c>
      <c r="Y12" s="15"/>
      <c r="Z12" s="23"/>
      <c r="AA12" s="23"/>
      <c r="AB12" s="23"/>
      <c r="AC12" s="23"/>
      <c r="AD12" s="26">
        <f>SUM(AD9:AD11)</f>
        <v>1336</v>
      </c>
      <c r="AE12" s="2"/>
      <c r="AF12" s="2"/>
      <c r="AG12" s="2"/>
      <c r="AH12" s="2"/>
      <c r="AI12" s="6"/>
      <c r="AJ12" s="10"/>
      <c r="AK12" s="10"/>
      <c r="AL12" s="16"/>
    </row>
    <row r="13" spans="1:38" ht="80" customHeight="1" x14ac:dyDescent="0.35">
      <c r="L13" s="3">
        <f>L12+L8</f>
        <v>15100</v>
      </c>
      <c r="M13" s="7">
        <f>M12+M8</f>
        <v>15907</v>
      </c>
    </row>
  </sheetData>
  <mergeCells count="46">
    <mergeCell ref="A9:A11"/>
    <mergeCell ref="J9:J11"/>
    <mergeCell ref="A4:A7"/>
    <mergeCell ref="J4:J7"/>
    <mergeCell ref="B4:B7"/>
    <mergeCell ref="C4:C7"/>
    <mergeCell ref="D4:D7"/>
    <mergeCell ref="E4:E7"/>
    <mergeCell ref="G4:G7"/>
    <mergeCell ref="I4:I7"/>
    <mergeCell ref="H4:H7"/>
    <mergeCell ref="I9:I11"/>
    <mergeCell ref="B9:B11"/>
    <mergeCell ref="C9:C11"/>
    <mergeCell ref="D9:D11"/>
    <mergeCell ref="E9:E11"/>
    <mergeCell ref="A1:AL1"/>
    <mergeCell ref="A2:A3"/>
    <mergeCell ref="I2:I3"/>
    <mergeCell ref="J2:J3"/>
    <mergeCell ref="K2:K3"/>
    <mergeCell ref="L2:L3"/>
    <mergeCell ref="M2:M3"/>
    <mergeCell ref="N2:P2"/>
    <mergeCell ref="B2:B3"/>
    <mergeCell ref="C2:C3"/>
    <mergeCell ref="D2:D3"/>
    <mergeCell ref="E2:E3"/>
    <mergeCell ref="F2:F3"/>
    <mergeCell ref="AL2:AL3"/>
    <mergeCell ref="H2:H3"/>
    <mergeCell ref="AJ2:AK2"/>
    <mergeCell ref="F4:F7"/>
    <mergeCell ref="G2:G3"/>
    <mergeCell ref="F9:F11"/>
    <mergeCell ref="G9:G11"/>
    <mergeCell ref="H9:H11"/>
    <mergeCell ref="U2:Y2"/>
    <mergeCell ref="AE2:AI2"/>
    <mergeCell ref="Q4:Q7"/>
    <mergeCell ref="R4:R7"/>
    <mergeCell ref="Q9:Q11"/>
    <mergeCell ref="R9:R11"/>
    <mergeCell ref="S2:T2"/>
    <mergeCell ref="Q2:R2"/>
    <mergeCell ref="Z2:AD2"/>
  </mergeCells>
  <printOptions horizontalCentered="1" verticalCentered="1"/>
  <pageMargins left="0.2" right="0.2" top="0.25" bottom="0.25" header="0.3" footer="0.3"/>
  <pageSetup paperSize="9" scale="2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CHRISTIAN BERG</vt:lpstr>
      <vt:lpstr>'CHRISTIAN BERG'!Print_Area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Merch</dc:creator>
  <cp:lastModifiedBy>Merch</cp:lastModifiedBy>
  <cp:lastPrinted>2026-04-13T13:42:24Z</cp:lastPrinted>
  <dcterms:created xsi:type="dcterms:W3CDTF">2025-12-01T09:54:51Z</dcterms:created>
  <dcterms:modified xsi:type="dcterms:W3CDTF">2026-04-16T14:45:35Z</dcterms:modified>
</cp:coreProperties>
</file>