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854" documentId="8_{A66A2A8C-3C8E-4565-87FD-1B011C70FE1C}" xr6:coauthVersionLast="47" xr6:coauthVersionMax="47" xr10:uidLastSave="{1B034F53-6CE9-4499-B934-515478CAC413}"/>
  <bookViews>
    <workbookView xWindow="-108" yWindow="-108" windowWidth="23256" windowHeight="12576" xr2:uid="{00000000-000D-0000-FFFF-FFFF00000000}"/>
  </bookViews>
  <sheets>
    <sheet name="Sheet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2" i="1" l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</futureMetadata>
  <valueMetadata count="1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</valueMetadata>
</metadata>
</file>

<file path=xl/sharedStrings.xml><?xml version="1.0" encoding="utf-8"?>
<sst xmlns="http://schemas.openxmlformats.org/spreadsheetml/2006/main" count="282" uniqueCount="127">
  <si>
    <t>S.No</t>
  </si>
  <si>
    <t>Buyer</t>
  </si>
  <si>
    <t>Factory</t>
  </si>
  <si>
    <t>Customer Season</t>
  </si>
  <si>
    <t>Style No</t>
  </si>
  <si>
    <t>Image</t>
  </si>
  <si>
    <t>Style Description</t>
  </si>
  <si>
    <t>Fabric Quality</t>
  </si>
  <si>
    <t>Treatment</t>
  </si>
  <si>
    <t>Buyer Po No</t>
  </si>
  <si>
    <t>Color</t>
  </si>
  <si>
    <t>Quantity</t>
  </si>
  <si>
    <t>Original order received Dt</t>
  </si>
  <si>
    <t>Etd Ex factory as per P.O</t>
  </si>
  <si>
    <t>Factory Confirmed Dt</t>
  </si>
  <si>
    <t>Trims Inhouse</t>
  </si>
  <si>
    <t>Fabric Inhouse</t>
  </si>
  <si>
    <t>Cut Qty</t>
  </si>
  <si>
    <t>Sewing Start</t>
  </si>
  <si>
    <t>Sewing End</t>
  </si>
  <si>
    <t>Sewing Qty</t>
  </si>
  <si>
    <t>Inspection</t>
  </si>
  <si>
    <t>Ex Factory Shipment</t>
  </si>
  <si>
    <t>Shipped Qty</t>
  </si>
  <si>
    <t>Balance Qty</t>
  </si>
  <si>
    <t>Remarks</t>
  </si>
  <si>
    <t>Col</t>
  </si>
  <si>
    <t>Qty</t>
  </si>
  <si>
    <t>Planned</t>
  </si>
  <si>
    <t>Actual</t>
  </si>
  <si>
    <t>Extended</t>
  </si>
  <si>
    <t>MARC O'POLO INTERNATIONAL GMBH</t>
  </si>
  <si>
    <t>WARSAW INTERNATIONAL</t>
  </si>
  <si>
    <t>MA08</t>
  </si>
  <si>
    <t>DWJE FW26 08 1000000099 5000007907</t>
  </si>
  <si>
    <t>CIRCULAR KNIT WOMENS TSHIRT</t>
  </si>
  <si>
    <t>4X3 RIB/96% ORGANIC COTTON 4% ELASTHANE/34S/230/FABRIC DYED + PANEL WASHED</t>
  </si>
  <si>
    <t>FABRIC DYE + PANEL WASH</t>
  </si>
  <si>
    <t>7000018534, 7000018561, 7000018588, 7000018592, 7000018642</t>
  </si>
  <si>
    <t xml:space="preserve">6937-MAHAGONY JAM </t>
  </si>
  <si>
    <t>12-FEB-2026</t>
  </si>
  <si>
    <t>12-MAY-2026</t>
  </si>
  <si>
    <t>22-APR-2026</t>
  </si>
  <si>
    <t>24-MAR-2026</t>
  </si>
  <si>
    <t>31-MAR-2026</t>
  </si>
  <si>
    <t>0361-LIGHT GRAPHITE</t>
  </si>
  <si>
    <t>4820 - LAKE BLUE</t>
  </si>
  <si>
    <t>DWJE FW26 08 1000000052 5000011502</t>
  </si>
  <si>
    <t xml:space="preserve">CIRCULAR KNIT WOMENS SWEAT SHIRT </t>
  </si>
  <si>
    <t>DIAGONAL FRENCH TERRY/100% ORGANIC COTTON/34S/260/FABRIC DYED + PANEL WASHED</t>
  </si>
  <si>
    <t>7000018535, 7000018564, 7000018596, 7000018648</t>
  </si>
  <si>
    <t>1348- ESPRESSO BROWN</t>
  </si>
  <si>
    <t>6913- DEEP BURGANDY</t>
  </si>
  <si>
    <t>6322- SMOKY GRAPE</t>
  </si>
  <si>
    <t>8989- BUTTER YELLOW</t>
  </si>
  <si>
    <t>6937- MAHAGONY JAM</t>
  </si>
  <si>
    <t>4779- FALL SKY</t>
  </si>
  <si>
    <t>4820- LAKE BLUE</t>
  </si>
  <si>
    <t>DWJE FW26 08 1000000158 5000007952</t>
  </si>
  <si>
    <t>DIAGONAL FRENCH TERRY/100% ORGANIC COTTON/34S/260/YARN DYED + PANEL WASH</t>
  </si>
  <si>
    <t>YARN DYED + PANEL WASH</t>
  </si>
  <si>
    <t>7000018563, 7000018595, 7000018647</t>
  </si>
  <si>
    <t>0093-BLACK MULTI 01</t>
  </si>
  <si>
    <t>09-MAY-2026</t>
  </si>
  <si>
    <t>10-APR-2026</t>
  </si>
  <si>
    <t>22-MAR-2026</t>
  </si>
  <si>
    <t>MA09</t>
  </si>
  <si>
    <t>DWJE FW26 09 1000000772 5000007068</t>
  </si>
  <si>
    <t>4X2 RIB/100% ORGANIC COTTON/34S////18GG/240//FABRIC DYED + PANEL WASHED</t>
  </si>
  <si>
    <t>0001-BLACK</t>
  </si>
  <si>
    <t>1171 – WHITE BLUSH</t>
  </si>
  <si>
    <t>DWJE FW26 08 1000000787 5000012326</t>
  </si>
  <si>
    <t>POLAR FLEECE/100% RECYLED POLYESTER/75D/150D///22GG/420//FABRIC DYED</t>
  </si>
  <si>
    <t>FABRIC DYED</t>
  </si>
  <si>
    <t>13-FEB-2026</t>
  </si>
  <si>
    <t>19-JUN-2026</t>
  </si>
  <si>
    <t>29-MAY-2026</t>
  </si>
  <si>
    <t>20-APR-2026</t>
  </si>
  <si>
    <t xml:space="preserve"> DWJE FW26 08 1000000787 5000014558</t>
  </si>
  <si>
    <t>CIRCULAR KNIT WOMENS SWEAT JACKET</t>
  </si>
  <si>
    <t>DWJE FW26 08 1000001702 5000012167</t>
  </si>
  <si>
    <t>2X2 RIB LYCRA/96% ORGANIC COTTON 4% ELASTHANE/50S/40D///28GG/180/34D/FABRIC DYED + AOP</t>
  </si>
  <si>
    <t>ALL OVER PRINT+ PANEL WASHED</t>
  </si>
  <si>
    <t>7000018537, 7000018567, 7000018601, 7000018604, 7000018659</t>
  </si>
  <si>
    <t>7026 DARK RED MULTI 01</t>
  </si>
  <si>
    <t>9066 LIGHT YELLOW MULTI 01</t>
  </si>
  <si>
    <t>DWJE FW26 08 1000000826 5000012387</t>
  </si>
  <si>
    <t>FRENCH TERRY/100% ORGANIC COTTON/30S/30S/10S//20GG/360/34D/FABRIC DYED + PEACHED + BRUSHED + PANEL WASH</t>
  </si>
  <si>
    <t>FABRIC LAVA DYED + ACID WASH</t>
  </si>
  <si>
    <t>7000018570, 7000018614, 7000018617, 7000018674</t>
  </si>
  <si>
    <t>DWJE FW26 08 1000000826 5000014733</t>
  </si>
  <si>
    <t>FABRIC LAVA DYED + ACID WASH + PEACHED</t>
  </si>
  <si>
    <t>7000018577, 7000018631, 7000018634, 7000018688</t>
  </si>
  <si>
    <t>7000018532, 7000018559, 7000018586, 7000018637</t>
  </si>
  <si>
    <t>DWJE FW26 08 1000000260 5000012316</t>
  </si>
  <si>
    <t>FRENCH TERRY/100% ORGANIC COTTON/30S/30S/10S//20GG/360/30D/RFD + PEACHED +BRUSHED</t>
  </si>
  <si>
    <t>7000018538, 7000018568, 7000018606, 7000018608, 7000018664</t>
  </si>
  <si>
    <t>8980- PARIS YELLOW</t>
  </si>
  <si>
    <t>DWJE FW26 08 1000000772 5000007068</t>
  </si>
  <si>
    <t>CIRCULAR KNIT WOMENS T-SHIRT LONG SLEEVE ROUND NECK</t>
  </si>
  <si>
    <t>7000018533, 7000018560, 7000018640</t>
  </si>
  <si>
    <t>1183-SILKY WHITE</t>
  </si>
  <si>
    <t>DWJE FW26 08 1000000787 5000012011</t>
  </si>
  <si>
    <t>Marc O' Polo Denim Girls FW26 (1) MA08 MA09  Order status report-  Bulk Production</t>
  </si>
  <si>
    <t>Sizeset Submission</t>
  </si>
  <si>
    <t>4/4-8/4</t>
  </si>
  <si>
    <t>7000018611, 7000018670, 7000018569</t>
  </si>
  <si>
    <t>7000018539, 7000018611</t>
  </si>
  <si>
    <t>7000018598, 7000018656</t>
  </si>
  <si>
    <t xml:space="preserve">7000018536, 7000018566, 7000018598, </t>
  </si>
  <si>
    <t>20/3 -15/4</t>
  </si>
  <si>
    <t>7000018630, 7000018626, 7000018687, 7000018576</t>
  </si>
  <si>
    <t>20/3-15/4</t>
  </si>
  <si>
    <t>30/3-7/4</t>
  </si>
  <si>
    <t xml:space="preserve"> Approved</t>
  </si>
  <si>
    <t>Photo samples:8/4- 1st collection</t>
  </si>
  <si>
    <t>Photo samples:30/4- Teddy fleece</t>
  </si>
  <si>
    <t>PSS- 52:10/4</t>
  </si>
  <si>
    <t>PSS -787:30/4</t>
  </si>
  <si>
    <t>1358- BURNISHED LOGS</t>
  </si>
  <si>
    <t>Bulk u/ sewing. Ontime</t>
  </si>
  <si>
    <t>Bulk u/ ironing+ packing.</t>
  </si>
  <si>
    <t>Sizeset rejected. Reoffer-24/4; Await revise line plan</t>
  </si>
  <si>
    <t>Bulk u/ checking and ironing</t>
  </si>
  <si>
    <t>U/ Cutting. Await revised plan</t>
  </si>
  <si>
    <t>Same line plan</t>
  </si>
  <si>
    <t>Await fabric to get i/h for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</si>
</sst>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9" x14ac:knownFonts="1">
    <font>
      <sz val="11"/>
      <color theme="1"/>
      <name val="Calibri"/>
      <family val="2"/>
      <scheme val="minor"/>
    </font>
    <font>
      <b/>
      <sz val="24"/>
      <name val="Open Sans"/>
    </font>
    <font>
      <b/>
      <sz val="14"/>
      <name val="Open Sans"/>
      <family val="2"/>
    </font>
    <font>
      <sz val="14"/>
      <color theme="1"/>
      <name val="Calibri"/>
      <family val="2"/>
      <scheme val="minor"/>
    </font>
    <font>
      <b/>
      <sz val="24"/>
      <name val="Open Sans"/>
      <family val="2"/>
    </font>
    <font>
      <sz val="24"/>
      <color theme="1"/>
      <name val="Calibri"/>
      <family val="2"/>
      <scheme val="minor"/>
    </font>
    <font>
      <sz val="13"/>
      <name val="Open Sans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0FFFF"/>
        <bgColor rgb="FF0000FF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3" fillId="0" borderId="0" xfId="0" applyFont="1"/>
    <xf numFmtId="0" fontId="2" fillId="2" borderId="14" xfId="0" applyFont="1" applyFill="1" applyBorder="1" applyAlignment="1">
      <alignment horizontal="center" vertical="center" wrapText="1"/>
    </xf>
    <xf numFmtId="14" fontId="5" fillId="0" borderId="8" xfId="0" applyNumberFormat="1" applyFont="1" applyBorder="1"/>
    <xf numFmtId="0" fontId="6" fillId="0" borderId="1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7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6" xfId="0" applyFont="1" applyBorder="1"/>
    <xf numFmtId="0" fontId="7" fillId="0" borderId="7" xfId="0" applyFont="1" applyBorder="1"/>
    <xf numFmtId="0" fontId="8" fillId="3" borderId="5" xfId="0" applyFont="1" applyFill="1" applyBorder="1" applyAlignment="1">
      <alignment horizontal="center" vertical="center"/>
    </xf>
    <xf numFmtId="0" fontId="7" fillId="0" borderId="5" xfId="0" applyFont="1" applyBorder="1"/>
    <xf numFmtId="0" fontId="7" fillId="0" borderId="8" xfId="0" applyFont="1" applyBorder="1"/>
    <xf numFmtId="0" fontId="0" fillId="0" borderId="0" xfId="0" applyAlignment="1">
      <alignment wrapText="1"/>
    </xf>
    <xf numFmtId="0" fontId="6" fillId="0" borderId="1" xfId="0" applyFont="1" applyBorder="1" applyAlignment="1">
      <alignment vertical="center" wrapText="1"/>
    </xf>
    <xf numFmtId="16" fontId="6" fillId="0" borderId="1" xfId="0" applyNumberFormat="1" applyFont="1" applyBorder="1" applyAlignment="1">
      <alignment vertical="center" wrapText="1"/>
    </xf>
    <xf numFmtId="16" fontId="6" fillId="4" borderId="4" xfId="0" applyNumberFormat="1" applyFont="1" applyFill="1" applyBorder="1" applyAlignment="1">
      <alignment horizontal="center" vertical="center" wrapText="1"/>
    </xf>
    <xf numFmtId="16" fontId="6" fillId="4" borderId="1" xfId="0" applyNumberFormat="1" applyFont="1" applyFill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16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6" fontId="6" fillId="0" borderId="4" xfId="0" applyNumberFormat="1" applyFont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16" fontId="2" fillId="2" borderId="11" xfId="0" applyNumberFormat="1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6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6" fontId="6" fillId="0" borderId="1" xfId="0" applyNumberFormat="1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15" fontId="6" fillId="0" borderId="1" xfId="0" applyNumberFormat="1" applyFont="1" applyBorder="1" applyAlignment="1">
      <alignment horizontal="center" vertical="center" wrapText="1"/>
    </xf>
    <xf numFmtId="16" fontId="6" fillId="0" borderId="2" xfId="0" applyNumberFormat="1" applyFont="1" applyBorder="1" applyAlignment="1">
      <alignment horizontal="center" vertical="center" wrapText="1"/>
    </xf>
    <xf numFmtId="16" fontId="6" fillId="0" borderId="4" xfId="0" applyNumberFormat="1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164" fontId="6" fillId="0" borderId="4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14" fontId="6" fillId="0" borderId="4" xfId="0" applyNumberFormat="1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5" fontId="6" fillId="0" borderId="2" xfId="0" applyNumberFormat="1" applyFont="1" applyBorder="1" applyAlignment="1">
      <alignment horizontal="center" vertical="center" wrapText="1"/>
    </xf>
    <xf numFmtId="16" fontId="7" fillId="4" borderId="2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15" fontId="6" fillId="0" borderId="4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6" fillId="0" borderId="21" xfId="0" applyFont="1" applyBorder="1" applyAlignment="1">
      <alignment horizontal="center" vertical="center" wrapText="1"/>
    </xf>
    <xf numFmtId="16" fontId="6" fillId="4" borderId="2" xfId="0" applyNumberFormat="1" applyFont="1" applyFill="1" applyBorder="1" applyAlignment="1">
      <alignment horizontal="center" vertical="center" wrapText="1"/>
    </xf>
    <xf numFmtId="16" fontId="6" fillId="4" borderId="3" xfId="0" applyNumberFormat="1" applyFont="1" applyFill="1" applyBorder="1" applyAlignment="1">
      <alignment horizontal="center" vertical="center" wrapText="1"/>
    </xf>
    <xf numFmtId="16" fontId="6" fillId="4" borderId="4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112000</xdr:rowOff>
    </xdr:from>
    <xdr:ext cx="2286000" cy="381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44"/>
  <sheetViews>
    <sheetView tabSelected="1" zoomScale="60" zoomScaleNormal="60" workbookViewId="0">
      <pane ySplit="3" topLeftCell="A39" activePane="bottomLeft" state="frozen"/>
      <selection pane="bottomLeft" activeCell="AL41" sqref="AL41:AL43"/>
    </sheetView>
  </sheetViews>
  <sheetFormatPr defaultRowHeight="14.4" x14ac:dyDescent="0.3"/>
  <cols>
    <col min="1" max="1" width="7.77734375" customWidth="1"/>
    <col min="2" max="2" width="14.88671875" customWidth="1"/>
    <col min="3" max="3" width="16" customWidth="1"/>
    <col min="4" max="4" width="10" customWidth="1"/>
    <col min="5" max="5" width="18.44140625" customWidth="1"/>
    <col min="6" max="6" width="16.33203125" customWidth="1"/>
    <col min="7" max="7" width="29" customWidth="1"/>
    <col min="8" max="8" width="18.44140625" hidden="1" customWidth="1"/>
    <col min="9" max="9" width="34" hidden="1" customWidth="1"/>
    <col min="10" max="10" width="16.21875" customWidth="1"/>
    <col min="11" max="11" width="17.21875" customWidth="1"/>
    <col min="12" max="12" width="28.88671875" customWidth="1"/>
    <col min="13" max="14" width="11.33203125" customWidth="1"/>
    <col min="15" max="15" width="13.21875" customWidth="1"/>
    <col min="16" max="16" width="14.5546875" hidden="1" customWidth="1"/>
    <col min="17" max="17" width="16.109375" customWidth="1"/>
    <col min="18" max="19" width="11.5546875" customWidth="1"/>
    <col min="20" max="20" width="13.77734375" customWidth="1"/>
    <col min="21" max="21" width="13" customWidth="1"/>
    <col min="22" max="22" width="17.21875" customWidth="1"/>
    <col min="23" max="23" width="16.5546875" customWidth="1"/>
    <col min="24" max="24" width="17.21875" customWidth="1"/>
    <col min="25" max="25" width="14.6640625" customWidth="1"/>
    <col min="26" max="26" width="13.21875" customWidth="1"/>
    <col min="27" max="28" width="14.109375" customWidth="1"/>
    <col min="29" max="29" width="14" customWidth="1"/>
    <col min="30" max="30" width="14.109375" customWidth="1"/>
    <col min="31" max="31" width="11.5546875" customWidth="1"/>
    <col min="32" max="32" width="13.5546875" customWidth="1"/>
    <col min="33" max="34" width="11.5546875" hidden="1" customWidth="1"/>
    <col min="35" max="35" width="14.21875" customWidth="1"/>
    <col min="36" max="36" width="11.5546875" customWidth="1"/>
    <col min="37" max="37" width="12.6640625" customWidth="1"/>
    <col min="38" max="38" width="29.77734375" customWidth="1"/>
  </cols>
  <sheetData>
    <row r="1" spans="1:38" ht="44.85" customHeight="1" thickBot="1" x14ac:dyDescent="0.85">
      <c r="A1" s="58" t="s">
        <v>103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3">
        <v>46066</v>
      </c>
    </row>
    <row r="2" spans="1:38" s="1" customFormat="1" ht="39" customHeight="1" x14ac:dyDescent="0.35">
      <c r="A2" s="33" t="s">
        <v>0</v>
      </c>
      <c r="B2" s="27" t="s">
        <v>1</v>
      </c>
      <c r="C2" s="27" t="s">
        <v>2</v>
      </c>
      <c r="D2" s="27" t="s">
        <v>3</v>
      </c>
      <c r="E2" s="27" t="s">
        <v>4</v>
      </c>
      <c r="F2" s="35">
        <v>46096</v>
      </c>
      <c r="G2" s="27" t="s">
        <v>5</v>
      </c>
      <c r="H2" s="27" t="s">
        <v>6</v>
      </c>
      <c r="I2" s="27" t="s">
        <v>7</v>
      </c>
      <c r="J2" s="27" t="s">
        <v>8</v>
      </c>
      <c r="K2" s="27" t="s">
        <v>9</v>
      </c>
      <c r="L2" s="27" t="s">
        <v>10</v>
      </c>
      <c r="M2" s="27" t="s">
        <v>11</v>
      </c>
      <c r="N2" s="27"/>
      <c r="O2" s="27" t="s">
        <v>12</v>
      </c>
      <c r="P2" s="27" t="s">
        <v>13</v>
      </c>
      <c r="Q2" s="27" t="s">
        <v>14</v>
      </c>
      <c r="R2" s="27" t="s">
        <v>15</v>
      </c>
      <c r="S2" s="27"/>
      <c r="T2" s="27" t="s">
        <v>16</v>
      </c>
      <c r="U2" s="27"/>
      <c r="V2" s="27" t="s">
        <v>104</v>
      </c>
      <c r="W2" s="27"/>
      <c r="X2" s="27"/>
      <c r="Y2" s="27" t="s">
        <v>17</v>
      </c>
      <c r="Z2" s="27" t="s">
        <v>18</v>
      </c>
      <c r="AA2" s="27"/>
      <c r="AB2" s="27" t="s">
        <v>19</v>
      </c>
      <c r="AC2" s="27"/>
      <c r="AD2" s="27" t="s">
        <v>20</v>
      </c>
      <c r="AE2" s="27" t="s">
        <v>21</v>
      </c>
      <c r="AF2" s="27"/>
      <c r="AG2" s="27" t="s">
        <v>22</v>
      </c>
      <c r="AH2" s="27"/>
      <c r="AI2" s="27"/>
      <c r="AJ2" s="27" t="s">
        <v>23</v>
      </c>
      <c r="AK2" s="27" t="s">
        <v>24</v>
      </c>
      <c r="AL2" s="29" t="s">
        <v>25</v>
      </c>
    </row>
    <row r="3" spans="1:38" s="1" customFormat="1" ht="47.4" customHeight="1" thickBot="1" x14ac:dyDescent="0.4">
      <c r="A3" s="34"/>
      <c r="B3" s="28"/>
      <c r="C3" s="28"/>
      <c r="D3" s="28"/>
      <c r="E3" s="28"/>
      <c r="F3" s="36"/>
      <c r="G3" s="28"/>
      <c r="H3" s="28"/>
      <c r="I3" s="28"/>
      <c r="J3" s="28"/>
      <c r="K3" s="28"/>
      <c r="L3" s="28"/>
      <c r="M3" s="2" t="s">
        <v>26</v>
      </c>
      <c r="N3" s="2" t="s">
        <v>27</v>
      </c>
      <c r="O3" s="28"/>
      <c r="P3" s="28"/>
      <c r="Q3" s="28"/>
      <c r="R3" s="2" t="s">
        <v>28</v>
      </c>
      <c r="S3" s="2" t="s">
        <v>29</v>
      </c>
      <c r="T3" s="2" t="s">
        <v>28</v>
      </c>
      <c r="U3" s="2" t="s">
        <v>29</v>
      </c>
      <c r="V3" s="2" t="s">
        <v>28</v>
      </c>
      <c r="W3" s="2" t="s">
        <v>29</v>
      </c>
      <c r="X3" s="26" t="s">
        <v>114</v>
      </c>
      <c r="Y3" s="28"/>
      <c r="Z3" s="2" t="s">
        <v>28</v>
      </c>
      <c r="AA3" s="2" t="s">
        <v>29</v>
      </c>
      <c r="AB3" s="2" t="s">
        <v>28</v>
      </c>
      <c r="AC3" s="2" t="s">
        <v>29</v>
      </c>
      <c r="AD3" s="28"/>
      <c r="AE3" s="2" t="s">
        <v>28</v>
      </c>
      <c r="AF3" s="2" t="s">
        <v>29</v>
      </c>
      <c r="AG3" s="2" t="s">
        <v>28</v>
      </c>
      <c r="AH3" s="2" t="s">
        <v>29</v>
      </c>
      <c r="AI3" s="2" t="s">
        <v>30</v>
      </c>
      <c r="AJ3" s="28"/>
      <c r="AK3" s="28"/>
      <c r="AL3" s="30"/>
    </row>
    <row r="4" spans="1:38" s="9" customFormat="1" ht="120" customHeight="1" x14ac:dyDescent="0.35">
      <c r="A4" s="4">
        <v>1</v>
      </c>
      <c r="B4" s="5" t="s">
        <v>31</v>
      </c>
      <c r="C4" s="5" t="s">
        <v>32</v>
      </c>
      <c r="D4" s="5" t="s">
        <v>33</v>
      </c>
      <c r="E4" s="5" t="s">
        <v>58</v>
      </c>
      <c r="F4" s="5">
        <v>3000000347</v>
      </c>
      <c r="G4" s="5" t="e" vm="1">
        <v>#VALUE!</v>
      </c>
      <c r="H4" s="5" t="s">
        <v>48</v>
      </c>
      <c r="I4" s="5" t="s">
        <v>59</v>
      </c>
      <c r="J4" s="5" t="s">
        <v>60</v>
      </c>
      <c r="K4" s="5" t="s">
        <v>61</v>
      </c>
      <c r="L4" s="6" t="s">
        <v>62</v>
      </c>
      <c r="M4" s="5">
        <v>2176</v>
      </c>
      <c r="N4" s="5">
        <v>2176</v>
      </c>
      <c r="O4" s="5" t="s">
        <v>40</v>
      </c>
      <c r="P4" s="5" t="s">
        <v>63</v>
      </c>
      <c r="Q4" s="7" t="s">
        <v>42</v>
      </c>
      <c r="R4" s="5" t="s">
        <v>65</v>
      </c>
      <c r="S4" s="20">
        <v>46096</v>
      </c>
      <c r="T4" s="5" t="s">
        <v>113</v>
      </c>
      <c r="U4" s="20">
        <v>46113</v>
      </c>
      <c r="V4" s="25">
        <v>46117</v>
      </c>
      <c r="W4" s="20">
        <v>46121</v>
      </c>
      <c r="X4" s="20">
        <v>46121</v>
      </c>
      <c r="Y4" s="5">
        <v>2379</v>
      </c>
      <c r="Z4" s="25">
        <v>46122</v>
      </c>
      <c r="AA4" s="20">
        <v>46129</v>
      </c>
      <c r="AB4" s="25">
        <v>46133</v>
      </c>
      <c r="AC4" s="5"/>
      <c r="AD4" s="5"/>
      <c r="AE4" s="25">
        <v>46134</v>
      </c>
      <c r="AF4" s="5"/>
      <c r="AG4" s="25">
        <v>46134</v>
      </c>
      <c r="AH4" s="5"/>
      <c r="AI4" s="5"/>
      <c r="AJ4" s="5"/>
      <c r="AK4" s="5">
        <f>AJ4-M4</f>
        <v>-2176</v>
      </c>
      <c r="AL4" s="8" t="s">
        <v>120</v>
      </c>
    </row>
    <row r="5" spans="1:38" s="9" customFormat="1" ht="60" customHeight="1" x14ac:dyDescent="0.35">
      <c r="A5" s="31">
        <v>2</v>
      </c>
      <c r="B5" s="32" t="s">
        <v>31</v>
      </c>
      <c r="C5" s="32" t="s">
        <v>32</v>
      </c>
      <c r="D5" s="32" t="s">
        <v>33</v>
      </c>
      <c r="E5" s="32" t="s">
        <v>80</v>
      </c>
      <c r="F5" s="37">
        <v>3000005050</v>
      </c>
      <c r="G5" s="32" t="e" vm="2">
        <v>#VALUE!</v>
      </c>
      <c r="H5" s="32" t="s">
        <v>35</v>
      </c>
      <c r="I5" s="32" t="s">
        <v>81</v>
      </c>
      <c r="J5" s="32" t="s">
        <v>82</v>
      </c>
      <c r="K5" s="32" t="s">
        <v>83</v>
      </c>
      <c r="L5" s="11" t="s">
        <v>84</v>
      </c>
      <c r="M5" s="10">
        <v>1750</v>
      </c>
      <c r="N5" s="32">
        <v>2902</v>
      </c>
      <c r="O5" s="32" t="s">
        <v>74</v>
      </c>
      <c r="P5" s="32" t="s">
        <v>41</v>
      </c>
      <c r="Q5" s="32" t="s">
        <v>42</v>
      </c>
      <c r="R5" s="32" t="s">
        <v>43</v>
      </c>
      <c r="S5" s="40">
        <v>46096</v>
      </c>
      <c r="T5" s="42">
        <v>46106</v>
      </c>
      <c r="U5" s="40">
        <v>46104</v>
      </c>
      <c r="V5" s="42">
        <v>46111</v>
      </c>
      <c r="W5" s="40">
        <v>46114</v>
      </c>
      <c r="X5" s="40">
        <v>46114</v>
      </c>
      <c r="Y5" s="10">
        <v>1914</v>
      </c>
      <c r="Z5" s="42">
        <v>46128</v>
      </c>
      <c r="AA5" s="40">
        <v>46126</v>
      </c>
      <c r="AB5" s="42">
        <v>46132</v>
      </c>
      <c r="AC5" s="18"/>
      <c r="AD5" s="10"/>
      <c r="AE5" s="42">
        <v>46134</v>
      </c>
      <c r="AF5" s="32"/>
      <c r="AG5" s="42">
        <v>46127</v>
      </c>
      <c r="AH5" s="32"/>
      <c r="AI5" s="32"/>
      <c r="AJ5" s="10"/>
      <c r="AK5" s="5">
        <f t="shared" ref="AK5:AK43" si="0">AJ5-M5</f>
        <v>-1750</v>
      </c>
      <c r="AL5" s="51" t="s">
        <v>120</v>
      </c>
    </row>
    <row r="6" spans="1:38" s="9" customFormat="1" ht="60" customHeight="1" x14ac:dyDescent="0.35">
      <c r="A6" s="31"/>
      <c r="B6" s="32"/>
      <c r="C6" s="32"/>
      <c r="D6" s="32"/>
      <c r="E6" s="32"/>
      <c r="F6" s="39"/>
      <c r="G6" s="32"/>
      <c r="H6" s="32"/>
      <c r="I6" s="32"/>
      <c r="J6" s="32"/>
      <c r="K6" s="32"/>
      <c r="L6" s="11" t="s">
        <v>85</v>
      </c>
      <c r="M6" s="10">
        <v>1152</v>
      </c>
      <c r="N6" s="32"/>
      <c r="O6" s="32"/>
      <c r="P6" s="32"/>
      <c r="Q6" s="32"/>
      <c r="R6" s="32"/>
      <c r="S6" s="41"/>
      <c r="T6" s="32"/>
      <c r="U6" s="41"/>
      <c r="V6" s="32"/>
      <c r="W6" s="41"/>
      <c r="X6" s="41"/>
      <c r="Y6" s="10">
        <v>1266</v>
      </c>
      <c r="Z6" s="32"/>
      <c r="AA6" s="41"/>
      <c r="AB6" s="32"/>
      <c r="AC6" s="21">
        <v>46128</v>
      </c>
      <c r="AD6" s="24">
        <v>1266</v>
      </c>
      <c r="AE6" s="32"/>
      <c r="AF6" s="32"/>
      <c r="AG6" s="32"/>
      <c r="AH6" s="32"/>
      <c r="AI6" s="32"/>
      <c r="AJ6" s="10"/>
      <c r="AK6" s="5">
        <f t="shared" si="0"/>
        <v>-1152</v>
      </c>
      <c r="AL6" s="50"/>
    </row>
    <row r="7" spans="1:38" s="9" customFormat="1" ht="40.049999999999997" customHeight="1" x14ac:dyDescent="0.35">
      <c r="A7" s="31">
        <v>3</v>
      </c>
      <c r="B7" s="32" t="s">
        <v>31</v>
      </c>
      <c r="C7" s="32" t="s">
        <v>32</v>
      </c>
      <c r="D7" s="32" t="s">
        <v>33</v>
      </c>
      <c r="E7" s="32" t="s">
        <v>34</v>
      </c>
      <c r="F7" s="37">
        <v>3000000459</v>
      </c>
      <c r="G7" s="32" t="e" vm="3">
        <v>#VALUE!</v>
      </c>
      <c r="H7" s="32" t="s">
        <v>35</v>
      </c>
      <c r="I7" s="32" t="s">
        <v>36</v>
      </c>
      <c r="J7" s="32" t="s">
        <v>37</v>
      </c>
      <c r="K7" s="32" t="s">
        <v>38</v>
      </c>
      <c r="L7" s="11" t="s">
        <v>39</v>
      </c>
      <c r="M7" s="10">
        <v>1527</v>
      </c>
      <c r="N7" s="32">
        <v>3724</v>
      </c>
      <c r="O7" s="32" t="s">
        <v>40</v>
      </c>
      <c r="P7" s="32" t="s">
        <v>41</v>
      </c>
      <c r="Q7" s="32" t="s">
        <v>42</v>
      </c>
      <c r="R7" s="32" t="s">
        <v>43</v>
      </c>
      <c r="S7" s="40">
        <v>46096</v>
      </c>
      <c r="T7" s="44">
        <v>46108</v>
      </c>
      <c r="U7" s="21">
        <v>46099</v>
      </c>
      <c r="V7" s="42">
        <v>46099</v>
      </c>
      <c r="W7" s="40">
        <v>46099</v>
      </c>
      <c r="X7" s="40">
        <v>46099</v>
      </c>
      <c r="Y7" s="10">
        <v>1750</v>
      </c>
      <c r="Z7" s="42">
        <v>46108</v>
      </c>
      <c r="AA7" s="40">
        <v>46108</v>
      </c>
      <c r="AB7" s="40">
        <v>46127</v>
      </c>
      <c r="AC7" s="61">
        <v>46125</v>
      </c>
      <c r="AD7" s="24">
        <v>1741</v>
      </c>
      <c r="AE7" s="42">
        <v>46132</v>
      </c>
      <c r="AF7" s="32"/>
      <c r="AG7" s="42">
        <v>46127</v>
      </c>
      <c r="AH7" s="32"/>
      <c r="AI7" s="32"/>
      <c r="AJ7" s="10"/>
      <c r="AK7" s="5">
        <f t="shared" si="0"/>
        <v>-1527</v>
      </c>
      <c r="AL7" s="43" t="s">
        <v>121</v>
      </c>
    </row>
    <row r="8" spans="1:38" s="9" customFormat="1" ht="40.049999999999997" customHeight="1" x14ac:dyDescent="0.35">
      <c r="A8" s="31"/>
      <c r="B8" s="32"/>
      <c r="C8" s="32"/>
      <c r="D8" s="32"/>
      <c r="E8" s="32"/>
      <c r="F8" s="38"/>
      <c r="G8" s="32"/>
      <c r="H8" s="32"/>
      <c r="I8" s="32"/>
      <c r="J8" s="32"/>
      <c r="K8" s="32"/>
      <c r="L8" s="11" t="s">
        <v>45</v>
      </c>
      <c r="M8" s="10">
        <v>1596</v>
      </c>
      <c r="N8" s="32"/>
      <c r="O8" s="32"/>
      <c r="P8" s="32"/>
      <c r="Q8" s="32"/>
      <c r="R8" s="32"/>
      <c r="S8" s="41"/>
      <c r="T8" s="32"/>
      <c r="U8" s="21">
        <v>46097</v>
      </c>
      <c r="V8" s="32"/>
      <c r="W8" s="41"/>
      <c r="X8" s="41"/>
      <c r="Y8" s="10">
        <v>1676</v>
      </c>
      <c r="Z8" s="32"/>
      <c r="AA8" s="41"/>
      <c r="AB8" s="41"/>
      <c r="AC8" s="62"/>
      <c r="AD8" s="24">
        <v>1665</v>
      </c>
      <c r="AE8" s="32"/>
      <c r="AF8" s="32"/>
      <c r="AG8" s="32"/>
      <c r="AH8" s="32"/>
      <c r="AI8" s="32"/>
      <c r="AJ8" s="10"/>
      <c r="AK8" s="5">
        <f t="shared" si="0"/>
        <v>-1596</v>
      </c>
      <c r="AL8" s="43"/>
    </row>
    <row r="9" spans="1:38" s="9" customFormat="1" ht="40.049999999999997" customHeight="1" x14ac:dyDescent="0.35">
      <c r="A9" s="31"/>
      <c r="B9" s="32"/>
      <c r="C9" s="32"/>
      <c r="D9" s="32"/>
      <c r="E9" s="32"/>
      <c r="F9" s="39"/>
      <c r="G9" s="32"/>
      <c r="H9" s="32"/>
      <c r="I9" s="32"/>
      <c r="J9" s="32"/>
      <c r="K9" s="32"/>
      <c r="L9" s="11" t="s">
        <v>46</v>
      </c>
      <c r="M9" s="10">
        <v>601</v>
      </c>
      <c r="N9" s="32"/>
      <c r="O9" s="32"/>
      <c r="P9" s="32"/>
      <c r="Q9" s="32"/>
      <c r="R9" s="32"/>
      <c r="S9" s="41"/>
      <c r="T9" s="32"/>
      <c r="U9" s="21">
        <v>46096</v>
      </c>
      <c r="V9" s="32"/>
      <c r="W9" s="41"/>
      <c r="X9" s="41"/>
      <c r="Y9" s="10">
        <v>682</v>
      </c>
      <c r="Z9" s="32"/>
      <c r="AA9" s="41"/>
      <c r="AB9" s="41"/>
      <c r="AC9" s="63"/>
      <c r="AD9" s="24">
        <v>682</v>
      </c>
      <c r="AE9" s="32"/>
      <c r="AF9" s="32"/>
      <c r="AG9" s="32"/>
      <c r="AH9" s="32"/>
      <c r="AI9" s="32"/>
      <c r="AJ9" s="10"/>
      <c r="AK9" s="5">
        <f t="shared" si="0"/>
        <v>-601</v>
      </c>
      <c r="AL9" s="43"/>
    </row>
    <row r="10" spans="1:38" s="9" customFormat="1" ht="17.100000000000001" customHeight="1" x14ac:dyDescent="0.35">
      <c r="A10" s="31">
        <v>4</v>
      </c>
      <c r="B10" s="32" t="s">
        <v>31</v>
      </c>
      <c r="C10" s="32" t="s">
        <v>32</v>
      </c>
      <c r="D10" s="32" t="s">
        <v>33</v>
      </c>
      <c r="E10" s="32" t="s">
        <v>47</v>
      </c>
      <c r="F10" s="37">
        <v>3000000763</v>
      </c>
      <c r="G10" s="32" t="e" vm="4">
        <v>#VALUE!</v>
      </c>
      <c r="H10" s="32" t="s">
        <v>48</v>
      </c>
      <c r="I10" s="32" t="s">
        <v>49</v>
      </c>
      <c r="J10" s="32" t="s">
        <v>37</v>
      </c>
      <c r="K10" s="32" t="s">
        <v>50</v>
      </c>
      <c r="L10" s="11" t="s">
        <v>51</v>
      </c>
      <c r="M10" s="10">
        <v>2281</v>
      </c>
      <c r="N10" s="32">
        <v>9455</v>
      </c>
      <c r="O10" s="32" t="s">
        <v>40</v>
      </c>
      <c r="P10" s="32" t="s">
        <v>41</v>
      </c>
      <c r="Q10" s="32" t="s">
        <v>42</v>
      </c>
      <c r="R10" s="32" t="s">
        <v>43</v>
      </c>
      <c r="S10" s="40">
        <v>46096</v>
      </c>
      <c r="T10" s="32" t="s">
        <v>43</v>
      </c>
      <c r="U10" s="21">
        <v>46096</v>
      </c>
      <c r="V10" s="32" t="s">
        <v>44</v>
      </c>
      <c r="W10" s="40">
        <v>46094</v>
      </c>
      <c r="X10" s="40">
        <v>46094</v>
      </c>
      <c r="Y10" s="10">
        <v>2493</v>
      </c>
      <c r="Z10" s="42">
        <v>46111</v>
      </c>
      <c r="AA10" s="40">
        <v>46108</v>
      </c>
      <c r="AB10" s="42">
        <v>46134</v>
      </c>
      <c r="AC10" s="32"/>
      <c r="AD10" s="24">
        <v>2493</v>
      </c>
      <c r="AE10" s="42">
        <v>46136</v>
      </c>
      <c r="AF10" s="21">
        <v>46129</v>
      </c>
      <c r="AG10" s="42">
        <v>46136</v>
      </c>
      <c r="AH10" s="32"/>
      <c r="AI10" s="32"/>
      <c r="AJ10" s="10"/>
      <c r="AK10" s="5">
        <f t="shared" si="0"/>
        <v>-2281</v>
      </c>
      <c r="AL10" s="43" t="s">
        <v>121</v>
      </c>
    </row>
    <row r="11" spans="1:38" s="9" customFormat="1" ht="17.100000000000001" customHeight="1" x14ac:dyDescent="0.35">
      <c r="A11" s="31"/>
      <c r="B11" s="32"/>
      <c r="C11" s="32"/>
      <c r="D11" s="32"/>
      <c r="E11" s="32"/>
      <c r="F11" s="38"/>
      <c r="G11" s="32"/>
      <c r="H11" s="32"/>
      <c r="I11" s="32"/>
      <c r="J11" s="32"/>
      <c r="K11" s="32"/>
      <c r="L11" s="11" t="s">
        <v>52</v>
      </c>
      <c r="M11" s="10">
        <v>1239</v>
      </c>
      <c r="N11" s="32"/>
      <c r="O11" s="32"/>
      <c r="P11" s="32"/>
      <c r="Q11" s="32"/>
      <c r="R11" s="32"/>
      <c r="S11" s="41"/>
      <c r="T11" s="32"/>
      <c r="U11" s="21">
        <v>46093</v>
      </c>
      <c r="V11" s="32"/>
      <c r="W11" s="41"/>
      <c r="X11" s="41"/>
      <c r="Y11" s="10">
        <v>1361</v>
      </c>
      <c r="Z11" s="32"/>
      <c r="AA11" s="41"/>
      <c r="AB11" s="32"/>
      <c r="AC11" s="32"/>
      <c r="AD11" s="24">
        <v>1361</v>
      </c>
      <c r="AE11" s="32"/>
      <c r="AF11" s="19">
        <v>46134</v>
      </c>
      <c r="AG11" s="32"/>
      <c r="AH11" s="32"/>
      <c r="AI11" s="32"/>
      <c r="AJ11" s="10"/>
      <c r="AK11" s="5">
        <f t="shared" si="0"/>
        <v>-1239</v>
      </c>
      <c r="AL11" s="43"/>
    </row>
    <row r="12" spans="1:38" s="9" customFormat="1" ht="17.100000000000001" customHeight="1" x14ac:dyDescent="0.35">
      <c r="A12" s="31"/>
      <c r="B12" s="32"/>
      <c r="C12" s="32"/>
      <c r="D12" s="32"/>
      <c r="E12" s="32"/>
      <c r="F12" s="38"/>
      <c r="G12" s="32"/>
      <c r="H12" s="32"/>
      <c r="I12" s="32"/>
      <c r="J12" s="32"/>
      <c r="K12" s="32"/>
      <c r="L12" s="11" t="s">
        <v>53</v>
      </c>
      <c r="M12" s="10">
        <v>1305</v>
      </c>
      <c r="N12" s="32"/>
      <c r="O12" s="32"/>
      <c r="P12" s="32"/>
      <c r="Q12" s="32"/>
      <c r="R12" s="32"/>
      <c r="S12" s="41"/>
      <c r="T12" s="32"/>
      <c r="U12" s="21">
        <v>46096</v>
      </c>
      <c r="V12" s="32"/>
      <c r="W12" s="41"/>
      <c r="X12" s="41"/>
      <c r="Y12" s="10">
        <v>1434</v>
      </c>
      <c r="Z12" s="32"/>
      <c r="AA12" s="41"/>
      <c r="AB12" s="32"/>
      <c r="AC12" s="32"/>
      <c r="AD12" s="24">
        <v>1434</v>
      </c>
      <c r="AE12" s="32"/>
      <c r="AF12" s="19">
        <v>46132</v>
      </c>
      <c r="AG12" s="32"/>
      <c r="AH12" s="32"/>
      <c r="AI12" s="32"/>
      <c r="AJ12" s="10"/>
      <c r="AK12" s="5">
        <f t="shared" si="0"/>
        <v>-1305</v>
      </c>
      <c r="AL12" s="43"/>
    </row>
    <row r="13" spans="1:38" s="9" customFormat="1" ht="17.100000000000001" customHeight="1" x14ac:dyDescent="0.35">
      <c r="A13" s="31"/>
      <c r="B13" s="32"/>
      <c r="C13" s="32"/>
      <c r="D13" s="32"/>
      <c r="E13" s="32"/>
      <c r="F13" s="38"/>
      <c r="G13" s="32"/>
      <c r="H13" s="32"/>
      <c r="I13" s="32"/>
      <c r="J13" s="32"/>
      <c r="K13" s="32"/>
      <c r="L13" s="11" t="s">
        <v>54</v>
      </c>
      <c r="M13" s="10">
        <v>1416</v>
      </c>
      <c r="N13" s="32"/>
      <c r="O13" s="32"/>
      <c r="P13" s="32"/>
      <c r="Q13" s="32"/>
      <c r="R13" s="32"/>
      <c r="S13" s="41"/>
      <c r="T13" s="32"/>
      <c r="U13" s="21">
        <v>46101</v>
      </c>
      <c r="V13" s="32"/>
      <c r="W13" s="41"/>
      <c r="X13" s="41"/>
      <c r="Y13" s="10">
        <v>1550</v>
      </c>
      <c r="Z13" s="32"/>
      <c r="AA13" s="41"/>
      <c r="AB13" s="32"/>
      <c r="AC13" s="32"/>
      <c r="AD13" s="64"/>
      <c r="AE13" s="32"/>
      <c r="AF13" s="19">
        <v>46136</v>
      </c>
      <c r="AG13" s="32"/>
      <c r="AH13" s="32"/>
      <c r="AI13" s="32"/>
      <c r="AJ13" s="10"/>
      <c r="AK13" s="5">
        <f t="shared" si="0"/>
        <v>-1416</v>
      </c>
      <c r="AL13" s="43"/>
    </row>
    <row r="14" spans="1:38" s="9" customFormat="1" ht="17.100000000000001" customHeight="1" x14ac:dyDescent="0.35">
      <c r="A14" s="31"/>
      <c r="B14" s="32"/>
      <c r="C14" s="32"/>
      <c r="D14" s="32"/>
      <c r="E14" s="32"/>
      <c r="F14" s="38"/>
      <c r="G14" s="32"/>
      <c r="H14" s="32"/>
      <c r="I14" s="32"/>
      <c r="J14" s="32"/>
      <c r="K14" s="32"/>
      <c r="L14" s="11" t="s">
        <v>55</v>
      </c>
      <c r="M14" s="10">
        <v>1584</v>
      </c>
      <c r="N14" s="32"/>
      <c r="O14" s="32"/>
      <c r="P14" s="32"/>
      <c r="Q14" s="32"/>
      <c r="R14" s="32"/>
      <c r="S14" s="41"/>
      <c r="T14" s="32"/>
      <c r="U14" s="21">
        <v>46093</v>
      </c>
      <c r="V14" s="32"/>
      <c r="W14" s="41"/>
      <c r="X14" s="41"/>
      <c r="Y14" s="10">
        <v>1733</v>
      </c>
      <c r="Z14" s="32"/>
      <c r="AA14" s="41"/>
      <c r="AB14" s="32"/>
      <c r="AC14" s="32"/>
      <c r="AD14" s="24">
        <v>1733</v>
      </c>
      <c r="AE14" s="32"/>
      <c r="AF14" s="19">
        <v>46134</v>
      </c>
      <c r="AG14" s="32"/>
      <c r="AH14" s="32"/>
      <c r="AI14" s="32"/>
      <c r="AJ14" s="10"/>
      <c r="AK14" s="5">
        <f t="shared" si="0"/>
        <v>-1584</v>
      </c>
      <c r="AL14" s="43"/>
    </row>
    <row r="15" spans="1:38" s="9" customFormat="1" ht="17.100000000000001" customHeight="1" x14ac:dyDescent="0.35">
      <c r="A15" s="31"/>
      <c r="B15" s="32"/>
      <c r="C15" s="32"/>
      <c r="D15" s="32"/>
      <c r="E15" s="32"/>
      <c r="F15" s="38"/>
      <c r="G15" s="32"/>
      <c r="H15" s="32"/>
      <c r="I15" s="32"/>
      <c r="J15" s="32"/>
      <c r="K15" s="32"/>
      <c r="L15" s="11" t="s">
        <v>56</v>
      </c>
      <c r="M15" s="10">
        <v>828</v>
      </c>
      <c r="N15" s="32"/>
      <c r="O15" s="32"/>
      <c r="P15" s="32"/>
      <c r="Q15" s="32"/>
      <c r="R15" s="32"/>
      <c r="S15" s="41"/>
      <c r="T15" s="32"/>
      <c r="U15" s="21">
        <v>46092</v>
      </c>
      <c r="V15" s="32"/>
      <c r="W15" s="41"/>
      <c r="X15" s="41"/>
      <c r="Y15" s="10">
        <v>931</v>
      </c>
      <c r="Z15" s="32"/>
      <c r="AA15" s="41"/>
      <c r="AB15" s="32"/>
      <c r="AC15" s="32"/>
      <c r="AD15" s="24">
        <v>931</v>
      </c>
      <c r="AE15" s="32"/>
      <c r="AF15" s="19">
        <v>46134</v>
      </c>
      <c r="AG15" s="32"/>
      <c r="AH15" s="32"/>
      <c r="AI15" s="32"/>
      <c r="AJ15" s="10"/>
      <c r="AK15" s="5">
        <f t="shared" si="0"/>
        <v>-828</v>
      </c>
      <c r="AL15" s="43"/>
    </row>
    <row r="16" spans="1:38" s="9" customFormat="1" ht="17.100000000000001" customHeight="1" x14ac:dyDescent="0.35">
      <c r="A16" s="31"/>
      <c r="B16" s="32"/>
      <c r="C16" s="32"/>
      <c r="D16" s="32"/>
      <c r="E16" s="32"/>
      <c r="F16" s="39"/>
      <c r="G16" s="32"/>
      <c r="H16" s="32"/>
      <c r="I16" s="32"/>
      <c r="J16" s="32"/>
      <c r="K16" s="32"/>
      <c r="L16" s="11" t="s">
        <v>57</v>
      </c>
      <c r="M16" s="10">
        <v>802</v>
      </c>
      <c r="N16" s="32"/>
      <c r="O16" s="32"/>
      <c r="P16" s="32"/>
      <c r="Q16" s="32"/>
      <c r="R16" s="32"/>
      <c r="S16" s="41"/>
      <c r="T16" s="32"/>
      <c r="U16" s="21">
        <v>46101</v>
      </c>
      <c r="V16" s="32"/>
      <c r="W16" s="41"/>
      <c r="X16" s="41"/>
      <c r="Y16" s="10">
        <v>902</v>
      </c>
      <c r="Z16" s="32"/>
      <c r="AA16" s="41"/>
      <c r="AB16" s="32"/>
      <c r="AC16" s="32"/>
      <c r="AD16" s="64"/>
      <c r="AE16" s="32"/>
      <c r="AF16" s="19">
        <v>46136</v>
      </c>
      <c r="AG16" s="32"/>
      <c r="AH16" s="32"/>
      <c r="AI16" s="32"/>
      <c r="AJ16" s="10"/>
      <c r="AK16" s="5">
        <f t="shared" si="0"/>
        <v>-802</v>
      </c>
      <c r="AL16" s="43"/>
    </row>
    <row r="17" spans="1:38" s="9" customFormat="1" ht="60" customHeight="1" x14ac:dyDescent="0.35">
      <c r="A17" s="31">
        <v>5</v>
      </c>
      <c r="B17" s="32" t="s">
        <v>31</v>
      </c>
      <c r="C17" s="32" t="s">
        <v>32</v>
      </c>
      <c r="D17" s="32" t="s">
        <v>33</v>
      </c>
      <c r="E17" s="32" t="s">
        <v>86</v>
      </c>
      <c r="F17" s="37">
        <v>3000005199</v>
      </c>
      <c r="G17" s="32" t="e" vm="5">
        <v>#VALUE!</v>
      </c>
      <c r="H17" s="32" t="s">
        <v>48</v>
      </c>
      <c r="I17" s="32" t="s">
        <v>87</v>
      </c>
      <c r="J17" s="32" t="s">
        <v>88</v>
      </c>
      <c r="K17" s="32" t="s">
        <v>89</v>
      </c>
      <c r="L17" s="11" t="s">
        <v>55</v>
      </c>
      <c r="M17" s="10">
        <v>1291</v>
      </c>
      <c r="N17" s="32">
        <v>1999</v>
      </c>
      <c r="O17" s="32" t="s">
        <v>74</v>
      </c>
      <c r="P17" s="32" t="s">
        <v>41</v>
      </c>
      <c r="Q17" s="32" t="s">
        <v>42</v>
      </c>
      <c r="R17" s="32" t="s">
        <v>43</v>
      </c>
      <c r="S17" s="40">
        <v>46096</v>
      </c>
      <c r="T17" s="32" t="s">
        <v>43</v>
      </c>
      <c r="U17" s="21">
        <v>46117</v>
      </c>
      <c r="V17" s="44">
        <v>46116</v>
      </c>
      <c r="W17" s="40">
        <v>46118</v>
      </c>
      <c r="X17" s="40">
        <v>46118</v>
      </c>
      <c r="Y17" s="65">
        <v>1420</v>
      </c>
      <c r="Z17" s="42">
        <v>46124</v>
      </c>
      <c r="AA17" s="40">
        <v>46127</v>
      </c>
      <c r="AB17" s="42">
        <v>46134</v>
      </c>
      <c r="AC17" s="32"/>
      <c r="AD17" s="10"/>
      <c r="AE17" s="42">
        <v>46136</v>
      </c>
      <c r="AF17" s="32"/>
      <c r="AG17" s="42">
        <v>46126</v>
      </c>
      <c r="AH17" s="32"/>
      <c r="AI17" s="32"/>
      <c r="AJ17" s="10"/>
      <c r="AK17" s="5">
        <f t="shared" si="0"/>
        <v>-1291</v>
      </c>
      <c r="AL17" s="43" t="s">
        <v>121</v>
      </c>
    </row>
    <row r="18" spans="1:38" s="9" customFormat="1" ht="60" customHeight="1" x14ac:dyDescent="0.35">
      <c r="A18" s="31"/>
      <c r="B18" s="32"/>
      <c r="C18" s="32"/>
      <c r="D18" s="32"/>
      <c r="E18" s="32"/>
      <c r="F18" s="39"/>
      <c r="G18" s="32"/>
      <c r="H18" s="32"/>
      <c r="I18" s="32"/>
      <c r="J18" s="32"/>
      <c r="K18" s="32"/>
      <c r="L18" s="11" t="s">
        <v>54</v>
      </c>
      <c r="M18" s="10">
        <v>708</v>
      </c>
      <c r="N18" s="32"/>
      <c r="O18" s="32"/>
      <c r="P18" s="32"/>
      <c r="Q18" s="32"/>
      <c r="R18" s="32"/>
      <c r="S18" s="41"/>
      <c r="T18" s="32"/>
      <c r="U18" s="21">
        <v>46106</v>
      </c>
      <c r="V18" s="32"/>
      <c r="W18" s="41"/>
      <c r="X18" s="41"/>
      <c r="Y18" s="10">
        <v>804</v>
      </c>
      <c r="Z18" s="32"/>
      <c r="AA18" s="41"/>
      <c r="AB18" s="32"/>
      <c r="AC18" s="32"/>
      <c r="AD18" s="10"/>
      <c r="AE18" s="32"/>
      <c r="AF18" s="32"/>
      <c r="AG18" s="32"/>
      <c r="AH18" s="32"/>
      <c r="AI18" s="32"/>
      <c r="AJ18" s="10"/>
      <c r="AK18" s="5">
        <f t="shared" si="0"/>
        <v>-708</v>
      </c>
      <c r="AL18" s="43"/>
    </row>
    <row r="19" spans="1:38" s="9" customFormat="1" ht="60" customHeight="1" x14ac:dyDescent="0.35">
      <c r="A19" s="31">
        <v>6</v>
      </c>
      <c r="B19" s="32" t="s">
        <v>31</v>
      </c>
      <c r="C19" s="32" t="s">
        <v>32</v>
      </c>
      <c r="D19" s="32" t="s">
        <v>33</v>
      </c>
      <c r="E19" s="32" t="s">
        <v>90</v>
      </c>
      <c r="F19" s="37">
        <v>3000006775</v>
      </c>
      <c r="G19" s="32" t="e" vm="6">
        <v>#VALUE!</v>
      </c>
      <c r="H19" s="32" t="s">
        <v>79</v>
      </c>
      <c r="I19" s="32" t="s">
        <v>87</v>
      </c>
      <c r="J19" s="32" t="s">
        <v>91</v>
      </c>
      <c r="K19" s="32" t="s">
        <v>92</v>
      </c>
      <c r="L19" s="11" t="s">
        <v>45</v>
      </c>
      <c r="M19" s="10">
        <v>466</v>
      </c>
      <c r="N19" s="32">
        <v>1062</v>
      </c>
      <c r="O19" s="32" t="s">
        <v>74</v>
      </c>
      <c r="P19" s="32" t="s">
        <v>41</v>
      </c>
      <c r="Q19" s="32" t="s">
        <v>42</v>
      </c>
      <c r="R19" s="32" t="s">
        <v>43</v>
      </c>
      <c r="S19" s="40">
        <v>46111</v>
      </c>
      <c r="T19" s="32" t="s">
        <v>43</v>
      </c>
      <c r="U19" s="21">
        <v>46108</v>
      </c>
      <c r="V19" s="42">
        <v>46136</v>
      </c>
      <c r="W19" s="42"/>
      <c r="X19" s="42"/>
      <c r="Y19" s="10"/>
      <c r="Z19" s="42">
        <v>46127</v>
      </c>
      <c r="AA19" s="32"/>
      <c r="AB19" s="42">
        <v>46132</v>
      </c>
      <c r="AC19" s="32"/>
      <c r="AD19" s="10"/>
      <c r="AE19" s="42">
        <v>46134</v>
      </c>
      <c r="AF19" s="32"/>
      <c r="AG19" s="42">
        <v>46132</v>
      </c>
      <c r="AH19" s="32"/>
      <c r="AI19" s="32"/>
      <c r="AJ19" s="10"/>
      <c r="AK19" s="5">
        <f t="shared" si="0"/>
        <v>-466</v>
      </c>
      <c r="AL19" s="43" t="s">
        <v>122</v>
      </c>
    </row>
    <row r="20" spans="1:38" s="9" customFormat="1" ht="60" customHeight="1" x14ac:dyDescent="0.35">
      <c r="A20" s="31"/>
      <c r="B20" s="32"/>
      <c r="C20" s="32"/>
      <c r="D20" s="32"/>
      <c r="E20" s="32"/>
      <c r="F20" s="39"/>
      <c r="G20" s="32"/>
      <c r="H20" s="32"/>
      <c r="I20" s="32"/>
      <c r="J20" s="32"/>
      <c r="K20" s="32"/>
      <c r="L20" s="11" t="s">
        <v>55</v>
      </c>
      <c r="M20" s="10">
        <v>596</v>
      </c>
      <c r="N20" s="32"/>
      <c r="O20" s="32"/>
      <c r="P20" s="32"/>
      <c r="Q20" s="32"/>
      <c r="R20" s="32"/>
      <c r="S20" s="41"/>
      <c r="T20" s="32"/>
      <c r="U20" s="21">
        <v>46111</v>
      </c>
      <c r="V20" s="32"/>
      <c r="W20" s="32"/>
      <c r="X20" s="32"/>
      <c r="Y20" s="10"/>
      <c r="Z20" s="32"/>
      <c r="AA20" s="32"/>
      <c r="AB20" s="32"/>
      <c r="AC20" s="32"/>
      <c r="AD20" s="10"/>
      <c r="AE20" s="32"/>
      <c r="AF20" s="32"/>
      <c r="AG20" s="32"/>
      <c r="AH20" s="32"/>
      <c r="AI20" s="32"/>
      <c r="AJ20" s="10"/>
      <c r="AK20" s="5">
        <f t="shared" si="0"/>
        <v>-596</v>
      </c>
      <c r="AL20" s="43"/>
    </row>
    <row r="21" spans="1:38" s="9" customFormat="1" ht="40.049999999999997" customHeight="1" x14ac:dyDescent="0.35">
      <c r="A21" s="31">
        <v>7</v>
      </c>
      <c r="B21" s="32" t="s">
        <v>31</v>
      </c>
      <c r="C21" s="32" t="s">
        <v>32</v>
      </c>
      <c r="D21" s="32" t="s">
        <v>33</v>
      </c>
      <c r="E21" s="32" t="s">
        <v>94</v>
      </c>
      <c r="F21" s="37">
        <v>3000005161</v>
      </c>
      <c r="G21" s="32" t="e" vm="7">
        <v>#VALUE!</v>
      </c>
      <c r="H21" s="32" t="s">
        <v>48</v>
      </c>
      <c r="I21" s="32" t="s">
        <v>95</v>
      </c>
      <c r="J21" s="32" t="s">
        <v>88</v>
      </c>
      <c r="K21" s="32" t="s">
        <v>96</v>
      </c>
      <c r="L21" s="11" t="s">
        <v>55</v>
      </c>
      <c r="M21" s="10">
        <v>538</v>
      </c>
      <c r="N21" s="32">
        <v>1770</v>
      </c>
      <c r="O21" s="44">
        <v>46066</v>
      </c>
      <c r="P21" s="44">
        <v>46154</v>
      </c>
      <c r="Q21" s="32" t="s">
        <v>42</v>
      </c>
      <c r="R21" s="32" t="s">
        <v>43</v>
      </c>
      <c r="S21" s="40">
        <v>46096</v>
      </c>
      <c r="T21" s="32" t="s">
        <v>43</v>
      </c>
      <c r="U21" s="40">
        <v>46093</v>
      </c>
      <c r="V21" s="32" t="s">
        <v>44</v>
      </c>
      <c r="W21" s="40">
        <v>46100</v>
      </c>
      <c r="X21" s="40">
        <v>46100</v>
      </c>
      <c r="Y21" s="10">
        <v>637</v>
      </c>
      <c r="Z21" s="42">
        <v>46114</v>
      </c>
      <c r="AA21" s="40">
        <v>46111</v>
      </c>
      <c r="AB21" s="42">
        <v>46119</v>
      </c>
      <c r="AC21" s="40">
        <v>46119</v>
      </c>
      <c r="AD21" s="10">
        <v>637</v>
      </c>
      <c r="AE21" s="42">
        <v>46134</v>
      </c>
      <c r="AF21" s="32"/>
      <c r="AG21" s="42">
        <v>46127</v>
      </c>
      <c r="AH21" s="32"/>
      <c r="AI21" s="32"/>
      <c r="AJ21" s="10"/>
      <c r="AK21" s="5">
        <f t="shared" si="0"/>
        <v>-538</v>
      </c>
      <c r="AL21" s="43" t="s">
        <v>123</v>
      </c>
    </row>
    <row r="22" spans="1:38" s="9" customFormat="1" ht="40.049999999999997" customHeight="1" x14ac:dyDescent="0.35">
      <c r="A22" s="31"/>
      <c r="B22" s="32"/>
      <c r="C22" s="32"/>
      <c r="D22" s="32"/>
      <c r="E22" s="32"/>
      <c r="F22" s="38"/>
      <c r="G22" s="32"/>
      <c r="H22" s="32"/>
      <c r="I22" s="32"/>
      <c r="J22" s="32"/>
      <c r="K22" s="32"/>
      <c r="L22" s="11" t="s">
        <v>97</v>
      </c>
      <c r="M22" s="10">
        <v>526</v>
      </c>
      <c r="N22" s="32"/>
      <c r="O22" s="32"/>
      <c r="P22" s="32"/>
      <c r="Q22" s="32"/>
      <c r="R22" s="32"/>
      <c r="S22" s="41"/>
      <c r="T22" s="32"/>
      <c r="U22" s="41"/>
      <c r="V22" s="32"/>
      <c r="W22" s="41"/>
      <c r="X22" s="41"/>
      <c r="Y22" s="10">
        <v>624</v>
      </c>
      <c r="Z22" s="32"/>
      <c r="AA22" s="41"/>
      <c r="AB22" s="32"/>
      <c r="AC22" s="41"/>
      <c r="AD22" s="10">
        <v>624</v>
      </c>
      <c r="AE22" s="32"/>
      <c r="AF22" s="32"/>
      <c r="AG22" s="32"/>
      <c r="AH22" s="32"/>
      <c r="AI22" s="32"/>
      <c r="AJ22" s="10"/>
      <c r="AK22" s="5">
        <f t="shared" si="0"/>
        <v>-526</v>
      </c>
      <c r="AL22" s="43"/>
    </row>
    <row r="23" spans="1:38" s="9" customFormat="1" ht="40.049999999999997" customHeight="1" x14ac:dyDescent="0.35">
      <c r="A23" s="31"/>
      <c r="B23" s="32"/>
      <c r="C23" s="32"/>
      <c r="D23" s="32"/>
      <c r="E23" s="32"/>
      <c r="F23" s="39"/>
      <c r="G23" s="32"/>
      <c r="H23" s="32"/>
      <c r="I23" s="32"/>
      <c r="J23" s="32"/>
      <c r="K23" s="32"/>
      <c r="L23" s="11" t="s">
        <v>45</v>
      </c>
      <c r="M23" s="10">
        <v>706</v>
      </c>
      <c r="N23" s="32"/>
      <c r="O23" s="32"/>
      <c r="P23" s="32"/>
      <c r="Q23" s="32"/>
      <c r="R23" s="32"/>
      <c r="S23" s="41"/>
      <c r="T23" s="32"/>
      <c r="U23" s="41"/>
      <c r="V23" s="32"/>
      <c r="W23" s="41"/>
      <c r="X23" s="41"/>
      <c r="Y23" s="10">
        <v>834</v>
      </c>
      <c r="Z23" s="32"/>
      <c r="AA23" s="41"/>
      <c r="AB23" s="32"/>
      <c r="AC23" s="41"/>
      <c r="AD23" s="10">
        <v>834</v>
      </c>
      <c r="AE23" s="32"/>
      <c r="AF23" s="32"/>
      <c r="AG23" s="32"/>
      <c r="AH23" s="32"/>
      <c r="AI23" s="32"/>
      <c r="AJ23" s="10"/>
      <c r="AK23" s="5">
        <f t="shared" si="0"/>
        <v>-706</v>
      </c>
      <c r="AL23" s="43"/>
    </row>
    <row r="24" spans="1:38" s="9" customFormat="1" ht="40.049999999999997" customHeight="1" x14ac:dyDescent="0.35">
      <c r="A24" s="31">
        <v>8</v>
      </c>
      <c r="B24" s="32" t="s">
        <v>31</v>
      </c>
      <c r="C24" s="32" t="s">
        <v>32</v>
      </c>
      <c r="D24" s="32" t="s">
        <v>33</v>
      </c>
      <c r="E24" s="32" t="s">
        <v>98</v>
      </c>
      <c r="F24" s="37">
        <v>3000001601</v>
      </c>
      <c r="G24" s="32" t="e" vm="8">
        <v>#VALUE!</v>
      </c>
      <c r="H24" s="32" t="s">
        <v>99</v>
      </c>
      <c r="I24" s="32" t="s">
        <v>68</v>
      </c>
      <c r="J24" s="32" t="s">
        <v>37</v>
      </c>
      <c r="K24" s="32" t="s">
        <v>100</v>
      </c>
      <c r="L24" s="11" t="s">
        <v>119</v>
      </c>
      <c r="M24" s="10">
        <v>954</v>
      </c>
      <c r="N24" s="32">
        <v>2970</v>
      </c>
      <c r="O24" s="44">
        <v>46066</v>
      </c>
      <c r="P24" s="44">
        <v>46154</v>
      </c>
      <c r="Q24" s="32" t="s">
        <v>42</v>
      </c>
      <c r="R24" s="32" t="s">
        <v>43</v>
      </c>
      <c r="S24" s="40">
        <v>46093</v>
      </c>
      <c r="T24" s="32" t="s">
        <v>43</v>
      </c>
      <c r="U24" s="23">
        <v>46109</v>
      </c>
      <c r="V24" s="32" t="s">
        <v>44</v>
      </c>
      <c r="W24" s="40">
        <v>46111</v>
      </c>
      <c r="X24" s="40">
        <v>46115</v>
      </c>
      <c r="Y24" s="10"/>
      <c r="Z24" s="42">
        <v>46125</v>
      </c>
      <c r="AA24" s="32"/>
      <c r="AB24" s="42">
        <v>46128</v>
      </c>
      <c r="AC24" s="32"/>
      <c r="AD24" s="10"/>
      <c r="AE24" s="42">
        <v>46132</v>
      </c>
      <c r="AF24" s="32"/>
      <c r="AG24" s="42">
        <v>46130</v>
      </c>
      <c r="AH24" s="32"/>
      <c r="AI24" s="32"/>
      <c r="AJ24" s="10"/>
      <c r="AK24" s="5">
        <f t="shared" si="0"/>
        <v>-954</v>
      </c>
      <c r="AL24" s="43" t="s">
        <v>124</v>
      </c>
    </row>
    <row r="25" spans="1:38" s="9" customFormat="1" ht="40.049999999999997" customHeight="1" x14ac:dyDescent="0.35">
      <c r="A25" s="31"/>
      <c r="B25" s="32"/>
      <c r="C25" s="32"/>
      <c r="D25" s="32"/>
      <c r="E25" s="32"/>
      <c r="F25" s="38"/>
      <c r="G25" s="32"/>
      <c r="H25" s="32"/>
      <c r="I25" s="32"/>
      <c r="J25" s="32"/>
      <c r="K25" s="32"/>
      <c r="L25" s="11" t="s">
        <v>101</v>
      </c>
      <c r="M25" s="10">
        <v>1054</v>
      </c>
      <c r="N25" s="32"/>
      <c r="O25" s="32"/>
      <c r="P25" s="32"/>
      <c r="Q25" s="32"/>
      <c r="R25" s="32"/>
      <c r="S25" s="41"/>
      <c r="T25" s="32"/>
      <c r="U25" s="23">
        <v>46106</v>
      </c>
      <c r="V25" s="32"/>
      <c r="W25" s="41"/>
      <c r="X25" s="41"/>
      <c r="Y25" s="10"/>
      <c r="Z25" s="32"/>
      <c r="AA25" s="32"/>
      <c r="AB25" s="32"/>
      <c r="AC25" s="32"/>
      <c r="AD25" s="10"/>
      <c r="AE25" s="32"/>
      <c r="AF25" s="32"/>
      <c r="AG25" s="32"/>
      <c r="AH25" s="32"/>
      <c r="AI25" s="32"/>
      <c r="AJ25" s="10"/>
      <c r="AK25" s="5">
        <f t="shared" si="0"/>
        <v>-1054</v>
      </c>
      <c r="AL25" s="43"/>
    </row>
    <row r="26" spans="1:38" s="9" customFormat="1" ht="40.049999999999997" customHeight="1" x14ac:dyDescent="0.35">
      <c r="A26" s="31"/>
      <c r="B26" s="32"/>
      <c r="C26" s="32"/>
      <c r="D26" s="32"/>
      <c r="E26" s="32"/>
      <c r="F26" s="39"/>
      <c r="G26" s="32"/>
      <c r="H26" s="32"/>
      <c r="I26" s="32"/>
      <c r="J26" s="32"/>
      <c r="K26" s="32"/>
      <c r="L26" s="11" t="s">
        <v>51</v>
      </c>
      <c r="M26" s="10">
        <v>962</v>
      </c>
      <c r="N26" s="32"/>
      <c r="O26" s="32"/>
      <c r="P26" s="32"/>
      <c r="Q26" s="32"/>
      <c r="R26" s="32"/>
      <c r="S26" s="41"/>
      <c r="T26" s="32"/>
      <c r="U26" s="23">
        <v>46110</v>
      </c>
      <c r="V26" s="32"/>
      <c r="W26" s="41"/>
      <c r="X26" s="41"/>
      <c r="Y26" s="10"/>
      <c r="Z26" s="32"/>
      <c r="AA26" s="32"/>
      <c r="AB26" s="32"/>
      <c r="AC26" s="32"/>
      <c r="AD26" s="10"/>
      <c r="AE26" s="32"/>
      <c r="AF26" s="32"/>
      <c r="AG26" s="32"/>
      <c r="AH26" s="32"/>
      <c r="AI26" s="32"/>
      <c r="AJ26" s="10"/>
      <c r="AK26" s="5">
        <f t="shared" si="0"/>
        <v>-962</v>
      </c>
      <c r="AL26" s="43"/>
    </row>
    <row r="27" spans="1:38" s="9" customFormat="1" ht="60" customHeight="1" x14ac:dyDescent="0.35">
      <c r="A27" s="60">
        <v>9</v>
      </c>
      <c r="B27" s="32" t="s">
        <v>31</v>
      </c>
      <c r="C27" s="32" t="s">
        <v>32</v>
      </c>
      <c r="D27" s="32" t="s">
        <v>33</v>
      </c>
      <c r="E27" s="32" t="s">
        <v>71</v>
      </c>
      <c r="F27" s="37">
        <v>3000005170</v>
      </c>
      <c r="G27" s="32" t="e" vm="9">
        <v>#VALUE!</v>
      </c>
      <c r="H27" s="32" t="s">
        <v>48</v>
      </c>
      <c r="I27" s="32" t="s">
        <v>72</v>
      </c>
      <c r="J27" s="32" t="s">
        <v>73</v>
      </c>
      <c r="K27" s="37" t="s">
        <v>106</v>
      </c>
      <c r="L27" s="11" t="s">
        <v>45</v>
      </c>
      <c r="M27" s="10">
        <v>338</v>
      </c>
      <c r="N27" s="37">
        <v>821</v>
      </c>
      <c r="O27" s="32" t="s">
        <v>74</v>
      </c>
      <c r="P27" s="54">
        <v>46154</v>
      </c>
      <c r="Q27" s="45">
        <v>46147</v>
      </c>
      <c r="R27" s="42">
        <v>46101</v>
      </c>
      <c r="S27" s="55">
        <v>46101</v>
      </c>
      <c r="T27" s="45">
        <v>46125</v>
      </c>
      <c r="U27" s="37"/>
      <c r="V27" s="42">
        <v>46127</v>
      </c>
      <c r="W27" s="42"/>
      <c r="X27" s="42"/>
      <c r="Y27" s="10"/>
      <c r="Z27" s="45">
        <v>46139</v>
      </c>
      <c r="AA27" s="10"/>
      <c r="AB27" s="45">
        <v>46144</v>
      </c>
      <c r="AC27" s="10"/>
      <c r="AD27" s="19"/>
      <c r="AE27" s="45">
        <v>46148</v>
      </c>
      <c r="AF27" s="10"/>
      <c r="AG27" s="45">
        <v>46148</v>
      </c>
      <c r="AH27" s="10"/>
      <c r="AI27" s="10"/>
      <c r="AJ27" s="10"/>
      <c r="AK27" s="5">
        <f t="shared" si="0"/>
        <v>-338</v>
      </c>
      <c r="AL27" s="51" t="s">
        <v>126</v>
      </c>
    </row>
    <row r="28" spans="1:38" s="9" customFormat="1" ht="60" customHeight="1" x14ac:dyDescent="0.35">
      <c r="A28" s="47"/>
      <c r="B28" s="32"/>
      <c r="C28" s="32"/>
      <c r="D28" s="32"/>
      <c r="E28" s="32"/>
      <c r="F28" s="39"/>
      <c r="G28" s="32"/>
      <c r="H28" s="32"/>
      <c r="I28" s="32"/>
      <c r="J28" s="32"/>
      <c r="K28" s="39"/>
      <c r="L28" s="11" t="s">
        <v>70</v>
      </c>
      <c r="M28" s="10">
        <v>483</v>
      </c>
      <c r="N28" s="39"/>
      <c r="O28" s="32"/>
      <c r="P28" s="39"/>
      <c r="Q28" s="46"/>
      <c r="R28" s="32"/>
      <c r="S28" s="56"/>
      <c r="T28" s="39"/>
      <c r="U28" s="39"/>
      <c r="V28" s="32"/>
      <c r="W28" s="32"/>
      <c r="X28" s="32"/>
      <c r="Y28" s="10"/>
      <c r="Z28" s="46"/>
      <c r="AA28" s="10"/>
      <c r="AB28" s="46"/>
      <c r="AC28" s="10"/>
      <c r="AD28" s="19"/>
      <c r="AE28" s="39"/>
      <c r="AF28" s="10"/>
      <c r="AG28" s="39"/>
      <c r="AH28" s="10"/>
      <c r="AI28" s="10"/>
      <c r="AJ28" s="10"/>
      <c r="AK28" s="5">
        <f t="shared" si="0"/>
        <v>-483</v>
      </c>
      <c r="AL28" s="50"/>
    </row>
    <row r="29" spans="1:38" s="9" customFormat="1" ht="60" customHeight="1" x14ac:dyDescent="0.35">
      <c r="A29" s="60">
        <v>10</v>
      </c>
      <c r="B29" s="32" t="s">
        <v>31</v>
      </c>
      <c r="C29" s="32" t="s">
        <v>32</v>
      </c>
      <c r="D29" s="32" t="s">
        <v>33</v>
      </c>
      <c r="E29" s="32" t="s">
        <v>102</v>
      </c>
      <c r="F29" s="32">
        <v>3000004937</v>
      </c>
      <c r="G29" s="32" t="e" vm="10">
        <v>#VALUE!</v>
      </c>
      <c r="H29" s="32" t="s">
        <v>79</v>
      </c>
      <c r="I29" s="32" t="s">
        <v>72</v>
      </c>
      <c r="J29" s="32" t="s">
        <v>73</v>
      </c>
      <c r="K29" s="37" t="s">
        <v>108</v>
      </c>
      <c r="L29" s="22" t="s">
        <v>70</v>
      </c>
      <c r="M29" s="10">
        <v>391</v>
      </c>
      <c r="N29" s="37">
        <v>392</v>
      </c>
      <c r="O29" s="32" t="s">
        <v>74</v>
      </c>
      <c r="P29" s="54">
        <v>46154</v>
      </c>
      <c r="Q29" s="45">
        <v>46147</v>
      </c>
      <c r="R29" s="42" t="s">
        <v>110</v>
      </c>
      <c r="S29" s="37"/>
      <c r="T29" s="45">
        <v>46125</v>
      </c>
      <c r="U29" s="37"/>
      <c r="V29" s="42">
        <v>46127</v>
      </c>
      <c r="W29" s="42"/>
      <c r="X29" s="42"/>
      <c r="Y29" s="10"/>
      <c r="Z29" s="45">
        <v>46133</v>
      </c>
      <c r="AA29" s="10"/>
      <c r="AB29" s="45">
        <v>46137</v>
      </c>
      <c r="AC29" s="10"/>
      <c r="AD29" s="19"/>
      <c r="AE29" s="45">
        <v>46142</v>
      </c>
      <c r="AF29" s="18"/>
      <c r="AG29" s="45">
        <v>46142</v>
      </c>
      <c r="AH29" s="10"/>
      <c r="AI29" s="10"/>
      <c r="AJ29" s="10"/>
      <c r="AK29" s="5">
        <f t="shared" si="0"/>
        <v>-391</v>
      </c>
      <c r="AL29" s="51" t="s">
        <v>126</v>
      </c>
    </row>
    <row r="30" spans="1:38" s="9" customFormat="1" ht="60" customHeight="1" x14ac:dyDescent="0.35">
      <c r="A30" s="47"/>
      <c r="B30" s="32"/>
      <c r="C30" s="32"/>
      <c r="D30" s="32"/>
      <c r="E30" s="32"/>
      <c r="F30" s="32"/>
      <c r="G30" s="32"/>
      <c r="H30" s="32"/>
      <c r="I30" s="32"/>
      <c r="J30" s="32"/>
      <c r="K30" s="39"/>
      <c r="L30" s="10" t="s">
        <v>55</v>
      </c>
      <c r="M30" s="10">
        <v>1</v>
      </c>
      <c r="N30" s="39"/>
      <c r="O30" s="32"/>
      <c r="P30" s="39"/>
      <c r="Q30" s="46"/>
      <c r="R30" s="32"/>
      <c r="S30" s="39"/>
      <c r="T30" s="39"/>
      <c r="U30" s="39"/>
      <c r="V30" s="32"/>
      <c r="W30" s="32"/>
      <c r="X30" s="32"/>
      <c r="Y30" s="10"/>
      <c r="Z30" s="46"/>
      <c r="AA30" s="10"/>
      <c r="AB30" s="46"/>
      <c r="AC30" s="10"/>
      <c r="AD30" s="19"/>
      <c r="AE30" s="46"/>
      <c r="AF30" s="18"/>
      <c r="AG30" s="46"/>
      <c r="AH30" s="10"/>
      <c r="AI30" s="10"/>
      <c r="AJ30" s="10"/>
      <c r="AK30" s="5">
        <f t="shared" si="0"/>
        <v>-1</v>
      </c>
      <c r="AL30" s="50"/>
    </row>
    <row r="31" spans="1:38" s="9" customFormat="1" ht="40.049999999999997" customHeight="1" x14ac:dyDescent="0.35">
      <c r="A31" s="47">
        <v>11</v>
      </c>
      <c r="B31" s="39" t="s">
        <v>31</v>
      </c>
      <c r="C31" s="39" t="s">
        <v>32</v>
      </c>
      <c r="D31" s="39" t="s">
        <v>33</v>
      </c>
      <c r="E31" s="39" t="s">
        <v>78</v>
      </c>
      <c r="F31" s="38">
        <v>3000006697</v>
      </c>
      <c r="G31" s="39" t="e" vm="11">
        <v>#VALUE!</v>
      </c>
      <c r="H31" s="39" t="s">
        <v>79</v>
      </c>
      <c r="I31" s="39" t="s">
        <v>72</v>
      </c>
      <c r="J31" s="39" t="s">
        <v>73</v>
      </c>
      <c r="K31" s="39" t="s">
        <v>111</v>
      </c>
      <c r="L31" s="6" t="s">
        <v>45</v>
      </c>
      <c r="M31" s="5">
        <v>864</v>
      </c>
      <c r="N31" s="39">
        <v>3318</v>
      </c>
      <c r="O31" s="39" t="s">
        <v>74</v>
      </c>
      <c r="P31" s="48">
        <v>46154</v>
      </c>
      <c r="Q31" s="57">
        <v>46147</v>
      </c>
      <c r="R31" s="39" t="s">
        <v>112</v>
      </c>
      <c r="S31" s="39"/>
      <c r="T31" s="57">
        <v>46125</v>
      </c>
      <c r="U31" s="39"/>
      <c r="V31" s="52">
        <v>46127</v>
      </c>
      <c r="W31" s="46"/>
      <c r="X31" s="46"/>
      <c r="Y31" s="5"/>
      <c r="Z31" s="46">
        <v>46146</v>
      </c>
      <c r="AA31" s="39"/>
      <c r="AB31" s="46">
        <v>46160</v>
      </c>
      <c r="AC31" s="39"/>
      <c r="AD31" s="5"/>
      <c r="AE31" s="46">
        <v>46162</v>
      </c>
      <c r="AF31" s="39"/>
      <c r="AG31" s="46">
        <v>46162</v>
      </c>
      <c r="AH31" s="39"/>
      <c r="AI31" s="39"/>
      <c r="AJ31" s="5"/>
      <c r="AK31" s="5">
        <f t="shared" si="0"/>
        <v>-864</v>
      </c>
      <c r="AL31" s="50" t="s">
        <v>126</v>
      </c>
    </row>
    <row r="32" spans="1:38" s="9" customFormat="1" ht="40.049999999999997" customHeight="1" x14ac:dyDescent="0.35">
      <c r="A32" s="31"/>
      <c r="B32" s="32"/>
      <c r="C32" s="32"/>
      <c r="D32" s="32"/>
      <c r="E32" s="32"/>
      <c r="F32" s="38"/>
      <c r="G32" s="32"/>
      <c r="H32" s="32"/>
      <c r="I32" s="32"/>
      <c r="J32" s="32"/>
      <c r="K32" s="32"/>
      <c r="L32" s="11" t="s">
        <v>70</v>
      </c>
      <c r="M32" s="10">
        <v>798</v>
      </c>
      <c r="N32" s="32"/>
      <c r="O32" s="32"/>
      <c r="P32" s="49"/>
      <c r="Q32" s="32"/>
      <c r="R32" s="32"/>
      <c r="S32" s="32"/>
      <c r="T32" s="32"/>
      <c r="U32" s="32"/>
      <c r="V32" s="53"/>
      <c r="W32" s="32"/>
      <c r="X32" s="32"/>
      <c r="Y32" s="10"/>
      <c r="Z32" s="32"/>
      <c r="AA32" s="32"/>
      <c r="AB32" s="32"/>
      <c r="AC32" s="32"/>
      <c r="AD32" s="10"/>
      <c r="AE32" s="32"/>
      <c r="AF32" s="32"/>
      <c r="AG32" s="32"/>
      <c r="AH32" s="32"/>
      <c r="AI32" s="32"/>
      <c r="AJ32" s="10"/>
      <c r="AK32" s="5">
        <f t="shared" si="0"/>
        <v>-798</v>
      </c>
      <c r="AL32" s="43"/>
    </row>
    <row r="33" spans="1:38" s="9" customFormat="1" ht="40.049999999999997" customHeight="1" x14ac:dyDescent="0.35">
      <c r="A33" s="31"/>
      <c r="B33" s="32"/>
      <c r="C33" s="32"/>
      <c r="D33" s="32"/>
      <c r="E33" s="32"/>
      <c r="F33" s="39"/>
      <c r="G33" s="32"/>
      <c r="H33" s="32"/>
      <c r="I33" s="32"/>
      <c r="J33" s="32"/>
      <c r="K33" s="32"/>
      <c r="L33" s="11" t="s">
        <v>55</v>
      </c>
      <c r="M33" s="10">
        <v>1656</v>
      </c>
      <c r="N33" s="32"/>
      <c r="O33" s="32"/>
      <c r="P33" s="49"/>
      <c r="Q33" s="32"/>
      <c r="R33" s="32"/>
      <c r="S33" s="32"/>
      <c r="T33" s="32"/>
      <c r="U33" s="32"/>
      <c r="V33" s="53"/>
      <c r="W33" s="32"/>
      <c r="X33" s="32"/>
      <c r="Y33" s="10"/>
      <c r="Z33" s="32"/>
      <c r="AA33" s="32"/>
      <c r="AB33" s="32"/>
      <c r="AC33" s="32"/>
      <c r="AD33" s="10"/>
      <c r="AE33" s="32"/>
      <c r="AF33" s="32"/>
      <c r="AG33" s="32"/>
      <c r="AH33" s="32"/>
      <c r="AI33" s="32"/>
      <c r="AJ33" s="10"/>
      <c r="AK33" s="5">
        <f t="shared" si="0"/>
        <v>-1656</v>
      </c>
      <c r="AL33" s="43"/>
    </row>
    <row r="34" spans="1:38" s="9" customFormat="1" ht="40.049999999999997" customHeight="1" x14ac:dyDescent="0.35">
      <c r="A34" s="31">
        <v>12</v>
      </c>
      <c r="B34" s="32" t="s">
        <v>31</v>
      </c>
      <c r="C34" s="32" t="s">
        <v>32</v>
      </c>
      <c r="D34" s="32" t="s">
        <v>66</v>
      </c>
      <c r="E34" s="32" t="s">
        <v>67</v>
      </c>
      <c r="F34" s="37">
        <v>3000001601</v>
      </c>
      <c r="G34" s="32" t="e" vm="8">
        <v>#VALUE!</v>
      </c>
      <c r="H34" s="32" t="s">
        <v>35</v>
      </c>
      <c r="I34" s="32" t="s">
        <v>68</v>
      </c>
      <c r="J34" s="32" t="s">
        <v>37</v>
      </c>
      <c r="K34" s="32" t="s">
        <v>93</v>
      </c>
      <c r="L34" s="11" t="s">
        <v>69</v>
      </c>
      <c r="M34" s="10">
        <v>1213</v>
      </c>
      <c r="N34" s="32">
        <v>2756</v>
      </c>
      <c r="O34" s="32" t="s">
        <v>74</v>
      </c>
      <c r="P34" s="32" t="s">
        <v>75</v>
      </c>
      <c r="Q34" s="32" t="s">
        <v>76</v>
      </c>
      <c r="R34" s="32" t="s">
        <v>64</v>
      </c>
      <c r="S34" s="40">
        <v>46093</v>
      </c>
      <c r="T34" s="32" t="s">
        <v>64</v>
      </c>
      <c r="U34" s="32" t="s">
        <v>105</v>
      </c>
      <c r="V34" s="32" t="s">
        <v>77</v>
      </c>
      <c r="W34" s="42"/>
      <c r="X34" s="32"/>
      <c r="Y34" s="10"/>
      <c r="Z34" s="42">
        <v>46133</v>
      </c>
      <c r="AA34" s="32"/>
      <c r="AB34" s="42">
        <v>46137</v>
      </c>
      <c r="AC34" s="32"/>
      <c r="AD34" s="10"/>
      <c r="AE34" s="42">
        <v>46139</v>
      </c>
      <c r="AF34" s="32"/>
      <c r="AG34" s="42">
        <v>46139</v>
      </c>
      <c r="AH34" s="32"/>
      <c r="AI34" s="32"/>
      <c r="AJ34" s="10"/>
      <c r="AK34" s="5">
        <f t="shared" si="0"/>
        <v>-1213</v>
      </c>
      <c r="AL34" s="43" t="s">
        <v>125</v>
      </c>
    </row>
    <row r="35" spans="1:38" s="9" customFormat="1" ht="40.049999999999997" customHeight="1" x14ac:dyDescent="0.35">
      <c r="A35" s="31"/>
      <c r="B35" s="32"/>
      <c r="C35" s="32"/>
      <c r="D35" s="32"/>
      <c r="E35" s="32"/>
      <c r="F35" s="38"/>
      <c r="G35" s="32"/>
      <c r="H35" s="32"/>
      <c r="I35" s="32"/>
      <c r="J35" s="32"/>
      <c r="K35" s="32"/>
      <c r="L35" s="11" t="s">
        <v>39</v>
      </c>
      <c r="M35" s="10">
        <v>837</v>
      </c>
      <c r="N35" s="32"/>
      <c r="O35" s="32"/>
      <c r="P35" s="32"/>
      <c r="Q35" s="32"/>
      <c r="R35" s="32"/>
      <c r="S35" s="41"/>
      <c r="T35" s="32"/>
      <c r="U35" s="32"/>
      <c r="V35" s="32"/>
      <c r="W35" s="32"/>
      <c r="X35" s="32"/>
      <c r="Y35" s="10"/>
      <c r="Z35" s="32"/>
      <c r="AA35" s="32"/>
      <c r="AB35" s="32"/>
      <c r="AC35" s="32"/>
      <c r="AD35" s="10"/>
      <c r="AE35" s="32"/>
      <c r="AF35" s="32"/>
      <c r="AG35" s="32"/>
      <c r="AH35" s="32"/>
      <c r="AI35" s="32"/>
      <c r="AJ35" s="10"/>
      <c r="AK35" s="5">
        <f t="shared" si="0"/>
        <v>-837</v>
      </c>
      <c r="AL35" s="43"/>
    </row>
    <row r="36" spans="1:38" s="9" customFormat="1" ht="40.049999999999997" customHeight="1" x14ac:dyDescent="0.35">
      <c r="A36" s="31"/>
      <c r="B36" s="32"/>
      <c r="C36" s="32"/>
      <c r="D36" s="32"/>
      <c r="E36" s="32"/>
      <c r="F36" s="39"/>
      <c r="G36" s="32"/>
      <c r="H36" s="32"/>
      <c r="I36" s="32"/>
      <c r="J36" s="32"/>
      <c r="K36" s="32"/>
      <c r="L36" s="11" t="s">
        <v>54</v>
      </c>
      <c r="M36" s="10">
        <v>706</v>
      </c>
      <c r="N36" s="32"/>
      <c r="O36" s="32"/>
      <c r="P36" s="32"/>
      <c r="Q36" s="32"/>
      <c r="R36" s="32"/>
      <c r="S36" s="41"/>
      <c r="T36" s="32"/>
      <c r="U36" s="32"/>
      <c r="V36" s="32"/>
      <c r="W36" s="32"/>
      <c r="X36" s="32"/>
      <c r="Y36" s="10"/>
      <c r="Z36" s="32"/>
      <c r="AA36" s="32"/>
      <c r="AB36" s="32"/>
      <c r="AC36" s="32"/>
      <c r="AD36" s="10"/>
      <c r="AE36" s="32"/>
      <c r="AF36" s="32"/>
      <c r="AG36" s="32"/>
      <c r="AH36" s="32"/>
      <c r="AI36" s="32"/>
      <c r="AJ36" s="10"/>
      <c r="AK36" s="5">
        <f t="shared" si="0"/>
        <v>-706</v>
      </c>
      <c r="AL36" s="43"/>
    </row>
    <row r="37" spans="1:38" s="9" customFormat="1" ht="60" customHeight="1" x14ac:dyDescent="0.35">
      <c r="A37" s="31">
        <v>13</v>
      </c>
      <c r="B37" s="32" t="s">
        <v>31</v>
      </c>
      <c r="C37" s="32" t="s">
        <v>32</v>
      </c>
      <c r="D37" s="32" t="s">
        <v>33</v>
      </c>
      <c r="E37" s="32" t="s">
        <v>71</v>
      </c>
      <c r="F37" s="37">
        <v>3000005170</v>
      </c>
      <c r="G37" s="32" t="e" vm="9">
        <v>#VALUE!</v>
      </c>
      <c r="H37" s="32" t="s">
        <v>48</v>
      </c>
      <c r="I37" s="32" t="s">
        <v>72</v>
      </c>
      <c r="J37" s="32" t="s">
        <v>73</v>
      </c>
      <c r="K37" s="32" t="s">
        <v>107</v>
      </c>
      <c r="L37" s="11" t="s">
        <v>45</v>
      </c>
      <c r="M37" s="10">
        <v>286</v>
      </c>
      <c r="N37" s="32">
        <v>403</v>
      </c>
      <c r="O37" s="32" t="s">
        <v>74</v>
      </c>
      <c r="P37" s="32" t="s">
        <v>75</v>
      </c>
      <c r="Q37" s="44">
        <v>46169</v>
      </c>
      <c r="R37" s="42">
        <v>46101</v>
      </c>
      <c r="S37" s="40">
        <v>46101</v>
      </c>
      <c r="T37" s="42">
        <v>46122</v>
      </c>
      <c r="U37" s="32"/>
      <c r="V37" s="42">
        <v>46157</v>
      </c>
      <c r="W37" s="42"/>
      <c r="X37" s="42"/>
      <c r="Y37" s="10"/>
      <c r="Z37" s="45">
        <v>46127</v>
      </c>
      <c r="AA37" s="32"/>
      <c r="AB37" s="45">
        <v>46133</v>
      </c>
      <c r="AC37" s="32"/>
      <c r="AD37" s="19"/>
      <c r="AE37" s="45">
        <v>46136</v>
      </c>
      <c r="AF37" s="18"/>
      <c r="AG37" s="45">
        <v>46136</v>
      </c>
      <c r="AH37" s="32"/>
      <c r="AI37" s="32"/>
      <c r="AJ37" s="10"/>
      <c r="AK37" s="5">
        <f t="shared" si="0"/>
        <v>-286</v>
      </c>
      <c r="AL37" s="43" t="s">
        <v>126</v>
      </c>
    </row>
    <row r="38" spans="1:38" s="9" customFormat="1" ht="60" customHeight="1" x14ac:dyDescent="0.35">
      <c r="A38" s="31"/>
      <c r="B38" s="32"/>
      <c r="C38" s="32"/>
      <c r="D38" s="32"/>
      <c r="E38" s="32"/>
      <c r="F38" s="39"/>
      <c r="G38" s="32"/>
      <c r="H38" s="32"/>
      <c r="I38" s="32"/>
      <c r="J38" s="32"/>
      <c r="K38" s="32"/>
      <c r="L38" s="11" t="s">
        <v>70</v>
      </c>
      <c r="M38" s="10">
        <v>117</v>
      </c>
      <c r="N38" s="32"/>
      <c r="O38" s="32"/>
      <c r="P38" s="32"/>
      <c r="Q38" s="32"/>
      <c r="R38" s="32"/>
      <c r="S38" s="41"/>
      <c r="T38" s="32"/>
      <c r="U38" s="32"/>
      <c r="V38" s="32"/>
      <c r="W38" s="32"/>
      <c r="X38" s="32"/>
      <c r="Y38" s="10"/>
      <c r="Z38" s="46"/>
      <c r="AA38" s="32"/>
      <c r="AB38" s="46"/>
      <c r="AC38" s="32"/>
      <c r="AD38" s="19"/>
      <c r="AE38" s="46"/>
      <c r="AF38" s="18"/>
      <c r="AG38" s="39"/>
      <c r="AH38" s="32"/>
      <c r="AI38" s="32"/>
      <c r="AJ38" s="10"/>
      <c r="AK38" s="5">
        <f t="shared" si="0"/>
        <v>-117</v>
      </c>
      <c r="AL38" s="43"/>
    </row>
    <row r="39" spans="1:38" s="9" customFormat="1" ht="60" customHeight="1" x14ac:dyDescent="0.35">
      <c r="A39" s="31">
        <v>14</v>
      </c>
      <c r="B39" s="32" t="s">
        <v>31</v>
      </c>
      <c r="C39" s="32" t="s">
        <v>32</v>
      </c>
      <c r="D39" s="32" t="s">
        <v>33</v>
      </c>
      <c r="E39" s="32" t="s">
        <v>102</v>
      </c>
      <c r="F39" s="32">
        <v>3000004937</v>
      </c>
      <c r="G39" s="32" t="e" vm="10">
        <v>#VALUE!</v>
      </c>
      <c r="H39" s="32" t="s">
        <v>79</v>
      </c>
      <c r="I39" s="32" t="s">
        <v>72</v>
      </c>
      <c r="J39" s="32" t="s">
        <v>73</v>
      </c>
      <c r="K39" s="32" t="s">
        <v>109</v>
      </c>
      <c r="L39" s="10" t="s">
        <v>70</v>
      </c>
      <c r="M39" s="10">
        <v>109</v>
      </c>
      <c r="N39" s="32">
        <v>617</v>
      </c>
      <c r="O39" s="32" t="s">
        <v>74</v>
      </c>
      <c r="P39" s="32" t="s">
        <v>75</v>
      </c>
      <c r="Q39" s="44">
        <v>46169</v>
      </c>
      <c r="R39" s="45" t="s">
        <v>110</v>
      </c>
      <c r="S39" s="32"/>
      <c r="T39" s="42">
        <v>46137</v>
      </c>
      <c r="U39" s="32"/>
      <c r="V39" s="42"/>
      <c r="W39" s="42"/>
      <c r="X39" s="42"/>
      <c r="Y39" s="10"/>
      <c r="Z39" s="45">
        <v>46153</v>
      </c>
      <c r="AA39" s="32"/>
      <c r="AB39" s="45">
        <v>46157</v>
      </c>
      <c r="AC39" s="32"/>
      <c r="AD39" s="10"/>
      <c r="AE39" s="45">
        <v>46163</v>
      </c>
      <c r="AF39" s="32"/>
      <c r="AG39" s="45">
        <v>46163</v>
      </c>
      <c r="AH39" s="32"/>
      <c r="AI39" s="32"/>
      <c r="AJ39" s="10"/>
      <c r="AK39" s="5">
        <f t="shared" si="0"/>
        <v>-109</v>
      </c>
      <c r="AL39" s="43" t="s">
        <v>126</v>
      </c>
    </row>
    <row r="40" spans="1:38" s="9" customFormat="1" ht="60" customHeight="1" x14ac:dyDescent="0.35">
      <c r="A40" s="31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10" t="s">
        <v>55</v>
      </c>
      <c r="M40" s="10">
        <v>508</v>
      </c>
      <c r="N40" s="32"/>
      <c r="O40" s="32"/>
      <c r="P40" s="32"/>
      <c r="Q40" s="32"/>
      <c r="R40" s="46"/>
      <c r="S40" s="32"/>
      <c r="T40" s="32"/>
      <c r="U40" s="32"/>
      <c r="V40" s="32"/>
      <c r="W40" s="32"/>
      <c r="X40" s="32"/>
      <c r="Y40" s="10"/>
      <c r="Z40" s="46"/>
      <c r="AA40" s="32"/>
      <c r="AB40" s="46"/>
      <c r="AC40" s="32"/>
      <c r="AD40" s="10"/>
      <c r="AE40" s="46"/>
      <c r="AF40" s="32"/>
      <c r="AG40" s="46"/>
      <c r="AH40" s="32"/>
      <c r="AI40" s="32"/>
      <c r="AJ40" s="10"/>
      <c r="AK40" s="5">
        <f t="shared" si="0"/>
        <v>-508</v>
      </c>
      <c r="AL40" s="43"/>
    </row>
    <row r="41" spans="1:38" s="9" customFormat="1" ht="40.049999999999997" customHeight="1" x14ac:dyDescent="0.35">
      <c r="A41" s="47">
        <v>15</v>
      </c>
      <c r="B41" s="39" t="s">
        <v>31</v>
      </c>
      <c r="C41" s="39" t="s">
        <v>32</v>
      </c>
      <c r="D41" s="39" t="s">
        <v>33</v>
      </c>
      <c r="E41" s="39" t="s">
        <v>78</v>
      </c>
      <c r="F41" s="38">
        <v>3000006697</v>
      </c>
      <c r="G41" s="39" t="e" vm="11">
        <v>#VALUE!</v>
      </c>
      <c r="H41" s="39" t="s">
        <v>79</v>
      </c>
      <c r="I41" s="39" t="s">
        <v>72</v>
      </c>
      <c r="J41" s="39" t="s">
        <v>73</v>
      </c>
      <c r="K41" s="39">
        <v>7000018547</v>
      </c>
      <c r="L41" s="6" t="s">
        <v>45</v>
      </c>
      <c r="M41" s="5">
        <v>287</v>
      </c>
      <c r="N41" s="39">
        <v>1016</v>
      </c>
      <c r="O41" s="39" t="s">
        <v>74</v>
      </c>
      <c r="P41" s="39" t="s">
        <v>75</v>
      </c>
      <c r="Q41" s="48">
        <v>46169</v>
      </c>
      <c r="R41" s="39" t="s">
        <v>112</v>
      </c>
      <c r="S41" s="39"/>
      <c r="T41" s="39" t="s">
        <v>64</v>
      </c>
      <c r="U41" s="39"/>
      <c r="V41" s="39"/>
      <c r="W41" s="46"/>
      <c r="X41" s="46"/>
      <c r="Y41" s="5"/>
      <c r="Z41" s="46">
        <v>46132</v>
      </c>
      <c r="AA41" s="39"/>
      <c r="AB41" s="46">
        <v>46144</v>
      </c>
      <c r="AC41" s="39"/>
      <c r="AD41" s="5"/>
      <c r="AE41" s="46">
        <v>46149</v>
      </c>
      <c r="AF41" s="39"/>
      <c r="AG41" s="46">
        <v>46149</v>
      </c>
      <c r="AH41" s="39"/>
      <c r="AI41" s="39"/>
      <c r="AJ41" s="5"/>
      <c r="AK41" s="5">
        <f t="shared" si="0"/>
        <v>-287</v>
      </c>
      <c r="AL41" s="50" t="s">
        <v>126</v>
      </c>
    </row>
    <row r="42" spans="1:38" s="9" customFormat="1" ht="40.049999999999997" customHeight="1" x14ac:dyDescent="0.35">
      <c r="A42" s="31"/>
      <c r="B42" s="32"/>
      <c r="C42" s="32"/>
      <c r="D42" s="32"/>
      <c r="E42" s="32"/>
      <c r="F42" s="38"/>
      <c r="G42" s="32"/>
      <c r="H42" s="32"/>
      <c r="I42" s="32"/>
      <c r="J42" s="32"/>
      <c r="K42" s="32"/>
      <c r="L42" s="11" t="s">
        <v>70</v>
      </c>
      <c r="M42" s="10">
        <v>220</v>
      </c>
      <c r="N42" s="32"/>
      <c r="O42" s="32"/>
      <c r="P42" s="32"/>
      <c r="Q42" s="49"/>
      <c r="R42" s="32"/>
      <c r="S42" s="32"/>
      <c r="T42" s="32"/>
      <c r="U42" s="32"/>
      <c r="V42" s="32"/>
      <c r="W42" s="32"/>
      <c r="X42" s="32"/>
      <c r="Y42" s="10"/>
      <c r="Z42" s="32"/>
      <c r="AA42" s="32"/>
      <c r="AB42" s="32"/>
      <c r="AC42" s="32"/>
      <c r="AD42" s="10"/>
      <c r="AE42" s="32"/>
      <c r="AF42" s="32"/>
      <c r="AG42" s="32"/>
      <c r="AH42" s="32"/>
      <c r="AI42" s="32"/>
      <c r="AJ42" s="10"/>
      <c r="AK42" s="5">
        <f t="shared" si="0"/>
        <v>-220</v>
      </c>
      <c r="AL42" s="43"/>
    </row>
    <row r="43" spans="1:38" s="9" customFormat="1" ht="40.049999999999997" customHeight="1" thickBot="1" x14ac:dyDescent="0.4">
      <c r="A43" s="31"/>
      <c r="B43" s="32"/>
      <c r="C43" s="32"/>
      <c r="D43" s="32"/>
      <c r="E43" s="32"/>
      <c r="F43" s="39"/>
      <c r="G43" s="32"/>
      <c r="H43" s="32"/>
      <c r="I43" s="32"/>
      <c r="J43" s="32"/>
      <c r="K43" s="32"/>
      <c r="L43" s="11" t="s">
        <v>55</v>
      </c>
      <c r="M43" s="10">
        <v>509</v>
      </c>
      <c r="N43" s="32"/>
      <c r="O43" s="32"/>
      <c r="P43" s="32"/>
      <c r="Q43" s="49"/>
      <c r="R43" s="32"/>
      <c r="S43" s="32"/>
      <c r="T43" s="32"/>
      <c r="U43" s="32"/>
      <c r="V43" s="32"/>
      <c r="W43" s="32"/>
      <c r="X43" s="32"/>
      <c r="Y43" s="10"/>
      <c r="Z43" s="32"/>
      <c r="AA43" s="32"/>
      <c r="AB43" s="32"/>
      <c r="AC43" s="32"/>
      <c r="AD43" s="10"/>
      <c r="AE43" s="32"/>
      <c r="AF43" s="32"/>
      <c r="AG43" s="32"/>
      <c r="AH43" s="32"/>
      <c r="AI43" s="32"/>
      <c r="AJ43" s="10"/>
      <c r="AK43" s="5">
        <f t="shared" si="0"/>
        <v>-509</v>
      </c>
      <c r="AL43" s="43"/>
    </row>
    <row r="44" spans="1:38" s="9" customFormat="1" ht="37.200000000000003" customHeight="1" thickBot="1" x14ac:dyDescent="0.4">
      <c r="A44" s="1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4">
        <v>35381</v>
      </c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5"/>
      <c r="AK44" s="15"/>
      <c r="AL44" s="16"/>
    </row>
  </sheetData>
  <mergeCells count="459">
    <mergeCell ref="AF31:AF33"/>
    <mergeCell ref="AG31:AG33"/>
    <mergeCell ref="AH31:AH33"/>
    <mergeCell ref="AI31:AI33"/>
    <mergeCell ref="AL31:AL33"/>
    <mergeCell ref="AG29:AG30"/>
    <mergeCell ref="K29:K30"/>
    <mergeCell ref="N29:N30"/>
    <mergeCell ref="U31:U33"/>
    <mergeCell ref="AE29:AE30"/>
    <mergeCell ref="W31:W33"/>
    <mergeCell ref="X31:X33"/>
    <mergeCell ref="Z31:Z33"/>
    <mergeCell ref="AA31:AA33"/>
    <mergeCell ref="AB31:AB33"/>
    <mergeCell ref="R31:R33"/>
    <mergeCell ref="S31:S33"/>
    <mergeCell ref="T31:T33"/>
    <mergeCell ref="AL29:AL30"/>
    <mergeCell ref="U29:U30"/>
    <mergeCell ref="V29:V30"/>
    <mergeCell ref="W29:W30"/>
    <mergeCell ref="X29:X30"/>
    <mergeCell ref="Z29:Z30"/>
    <mergeCell ref="W27:W28"/>
    <mergeCell ref="G27:G28"/>
    <mergeCell ref="A31:A33"/>
    <mergeCell ref="B31:B33"/>
    <mergeCell ref="C31:C33"/>
    <mergeCell ref="D31:D33"/>
    <mergeCell ref="E31:E33"/>
    <mergeCell ref="F31:F33"/>
    <mergeCell ref="G31:G33"/>
    <mergeCell ref="H31:H33"/>
    <mergeCell ref="I31:I33"/>
    <mergeCell ref="AB27:AB28"/>
    <mergeCell ref="AE34:AE36"/>
    <mergeCell ref="V34:V36"/>
    <mergeCell ref="W34:W36"/>
    <mergeCell ref="X34:X36"/>
    <mergeCell ref="Z34:Z36"/>
    <mergeCell ref="AA34:AA36"/>
    <mergeCell ref="AG27:AG28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J29:J30"/>
    <mergeCell ref="O29:O30"/>
    <mergeCell ref="P29:P30"/>
    <mergeCell ref="Q29:Q30"/>
    <mergeCell ref="R29:R30"/>
    <mergeCell ref="S29:S30"/>
    <mergeCell ref="T29:T30"/>
    <mergeCell ref="AL39:AL40"/>
    <mergeCell ref="Q39:Q40"/>
    <mergeCell ref="R39:R40"/>
    <mergeCell ref="S39:S40"/>
    <mergeCell ref="T39:T40"/>
    <mergeCell ref="U39:U40"/>
    <mergeCell ref="V39:V40"/>
    <mergeCell ref="W39:W40"/>
    <mergeCell ref="X39:X40"/>
    <mergeCell ref="A1:AK1"/>
    <mergeCell ref="Z39:Z40"/>
    <mergeCell ref="AA39:AA40"/>
    <mergeCell ref="AB39:AB40"/>
    <mergeCell ref="AC39:AC40"/>
    <mergeCell ref="AE39:AE40"/>
    <mergeCell ref="AF39:AF40"/>
    <mergeCell ref="AG39:AG40"/>
    <mergeCell ref="AH39:AH40"/>
    <mergeCell ref="AI39:AI40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K39:K40"/>
    <mergeCell ref="N39:N40"/>
    <mergeCell ref="O39:O40"/>
    <mergeCell ref="P39:P40"/>
    <mergeCell ref="T21:T23"/>
    <mergeCell ref="AE24:AE26"/>
    <mergeCell ref="AF24:AF26"/>
    <mergeCell ref="AG24:AG26"/>
    <mergeCell ref="AH24:AH26"/>
    <mergeCell ref="AI24:AI26"/>
    <mergeCell ref="AL24:AL26"/>
    <mergeCell ref="T24:T26"/>
    <mergeCell ref="V24:V26"/>
    <mergeCell ref="W24:W26"/>
    <mergeCell ref="X24:X26"/>
    <mergeCell ref="Z24:Z26"/>
    <mergeCell ref="AA24:AA26"/>
    <mergeCell ref="AB24:AB26"/>
    <mergeCell ref="AC24:AC26"/>
    <mergeCell ref="AE21:AE23"/>
    <mergeCell ref="AF21:AF23"/>
    <mergeCell ref="AG21:AG23"/>
    <mergeCell ref="AH21:AH23"/>
    <mergeCell ref="AI21:AI23"/>
    <mergeCell ref="AL21:AL23"/>
    <mergeCell ref="U21:U23"/>
    <mergeCell ref="V21:V23"/>
    <mergeCell ref="Z21:Z23"/>
    <mergeCell ref="N31:N33"/>
    <mergeCell ref="O31:O33"/>
    <mergeCell ref="P31:P33"/>
    <mergeCell ref="Q31:Q33"/>
    <mergeCell ref="A24:A26"/>
    <mergeCell ref="B24:B26"/>
    <mergeCell ref="C24:C26"/>
    <mergeCell ref="D24:D26"/>
    <mergeCell ref="E24:E26"/>
    <mergeCell ref="F24:F26"/>
    <mergeCell ref="G24:G26"/>
    <mergeCell ref="H24:H26"/>
    <mergeCell ref="I24:I26"/>
    <mergeCell ref="A27:A28"/>
    <mergeCell ref="B27:B28"/>
    <mergeCell ref="C27:C28"/>
    <mergeCell ref="D27:D28"/>
    <mergeCell ref="E27:E28"/>
    <mergeCell ref="F27:F28"/>
    <mergeCell ref="H27:H28"/>
    <mergeCell ref="I27:I28"/>
    <mergeCell ref="AG34:AG36"/>
    <mergeCell ref="AH34:AH36"/>
    <mergeCell ref="AI34:AI36"/>
    <mergeCell ref="AL34:AL36"/>
    <mergeCell ref="AL27:AL28"/>
    <mergeCell ref="J24:J26"/>
    <mergeCell ref="K24:K26"/>
    <mergeCell ref="N24:N26"/>
    <mergeCell ref="O24:O26"/>
    <mergeCell ref="P24:P26"/>
    <mergeCell ref="Q24:Q26"/>
    <mergeCell ref="R24:R26"/>
    <mergeCell ref="S24:S26"/>
    <mergeCell ref="V31:V33"/>
    <mergeCell ref="J27:J28"/>
    <mergeCell ref="K27:K28"/>
    <mergeCell ref="N27:N28"/>
    <mergeCell ref="P27:P28"/>
    <mergeCell ref="O27:O28"/>
    <mergeCell ref="Q27:Q28"/>
    <mergeCell ref="R27:R28"/>
    <mergeCell ref="T27:T28"/>
    <mergeCell ref="S27:S28"/>
    <mergeCell ref="J31:J33"/>
    <mergeCell ref="A21:A23"/>
    <mergeCell ref="B21:B23"/>
    <mergeCell ref="C21:C23"/>
    <mergeCell ref="D21:D23"/>
    <mergeCell ref="E21:E23"/>
    <mergeCell ref="F21:F23"/>
    <mergeCell ref="G21:G23"/>
    <mergeCell ref="H21:H23"/>
    <mergeCell ref="I21:I23"/>
    <mergeCell ref="AG19:AG20"/>
    <mergeCell ref="AH19:AH20"/>
    <mergeCell ref="AI19:AI20"/>
    <mergeCell ref="AL19:AL20"/>
    <mergeCell ref="A34:A36"/>
    <mergeCell ref="B34:B36"/>
    <mergeCell ref="C34:C36"/>
    <mergeCell ref="D34:D36"/>
    <mergeCell ref="E34:E36"/>
    <mergeCell ref="F34:F36"/>
    <mergeCell ref="G34:G36"/>
    <mergeCell ref="H34:H36"/>
    <mergeCell ref="I34:I36"/>
    <mergeCell ref="J34:J36"/>
    <mergeCell ref="K34:K36"/>
    <mergeCell ref="N34:N36"/>
    <mergeCell ref="O34:O36"/>
    <mergeCell ref="P34:P36"/>
    <mergeCell ref="Q34:Q36"/>
    <mergeCell ref="R34:R36"/>
    <mergeCell ref="S34:S36"/>
    <mergeCell ref="J21:J23"/>
    <mergeCell ref="K21:K23"/>
    <mergeCell ref="N21:N23"/>
    <mergeCell ref="AF34:AF36"/>
    <mergeCell ref="J19:J20"/>
    <mergeCell ref="K19:K20"/>
    <mergeCell ref="N19:N20"/>
    <mergeCell ref="O19:O20"/>
    <mergeCell ref="P19:P20"/>
    <mergeCell ref="Q19:Q20"/>
    <mergeCell ref="R19:R20"/>
    <mergeCell ref="S19:S20"/>
    <mergeCell ref="U34:U36"/>
    <mergeCell ref="W21:W23"/>
    <mergeCell ref="AF19:AF20"/>
    <mergeCell ref="O21:O23"/>
    <mergeCell ref="P21:P23"/>
    <mergeCell ref="Q21:Q23"/>
    <mergeCell ref="R21:R23"/>
    <mergeCell ref="S21:S23"/>
    <mergeCell ref="T34:T36"/>
    <mergeCell ref="AB34:AB36"/>
    <mergeCell ref="AC34:AC36"/>
    <mergeCell ref="AC31:AC33"/>
    <mergeCell ref="AE31:AE33"/>
    <mergeCell ref="AE27:AE28"/>
    <mergeCell ref="K31:K33"/>
    <mergeCell ref="T17:T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T19:T20"/>
    <mergeCell ref="AL5:AL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J18"/>
    <mergeCell ref="K17:K18"/>
    <mergeCell ref="N17:N18"/>
    <mergeCell ref="O17:O18"/>
    <mergeCell ref="P17:P18"/>
    <mergeCell ref="Q17:Q18"/>
    <mergeCell ref="R17:R18"/>
    <mergeCell ref="S17:S18"/>
    <mergeCell ref="T5:T6"/>
    <mergeCell ref="AF17:AF18"/>
    <mergeCell ref="AG17:AG18"/>
    <mergeCell ref="AH17:AH18"/>
    <mergeCell ref="AI17:AI18"/>
    <mergeCell ref="AL17:AL18"/>
    <mergeCell ref="AE41:AE43"/>
    <mergeCell ref="V41:V43"/>
    <mergeCell ref="W41:W43"/>
    <mergeCell ref="X41:X43"/>
    <mergeCell ref="Z41:Z43"/>
    <mergeCell ref="AA41:AA43"/>
    <mergeCell ref="AB41:AB43"/>
    <mergeCell ref="AC41:AC43"/>
    <mergeCell ref="AE37:AE38"/>
    <mergeCell ref="V37:V38"/>
    <mergeCell ref="W37:W38"/>
    <mergeCell ref="X37:X38"/>
    <mergeCell ref="Z37:Z38"/>
    <mergeCell ref="AA37:AA38"/>
    <mergeCell ref="AB37:AB38"/>
    <mergeCell ref="AC37:AC38"/>
    <mergeCell ref="AF41:AF43"/>
    <mergeCell ref="AG41:AG43"/>
    <mergeCell ref="AH41:AH43"/>
    <mergeCell ref="AI41:AI43"/>
    <mergeCell ref="AL41:AL43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N5:N6"/>
    <mergeCell ref="O5:O6"/>
    <mergeCell ref="P5:P6"/>
    <mergeCell ref="Q5:Q6"/>
    <mergeCell ref="R5:R6"/>
    <mergeCell ref="S5:S6"/>
    <mergeCell ref="T41:T43"/>
    <mergeCell ref="U41:U43"/>
    <mergeCell ref="AG37:AG38"/>
    <mergeCell ref="AH37:AH38"/>
    <mergeCell ref="AI37:AI38"/>
    <mergeCell ref="AL37:AL38"/>
    <mergeCell ref="A41:A43"/>
    <mergeCell ref="B41:B43"/>
    <mergeCell ref="C41:C43"/>
    <mergeCell ref="D41:D43"/>
    <mergeCell ref="E41:E43"/>
    <mergeCell ref="F41:F43"/>
    <mergeCell ref="G41:G43"/>
    <mergeCell ref="H41:H43"/>
    <mergeCell ref="I41:I43"/>
    <mergeCell ref="J41:J43"/>
    <mergeCell ref="K41:K43"/>
    <mergeCell ref="N41:N43"/>
    <mergeCell ref="O41:O43"/>
    <mergeCell ref="P41:P43"/>
    <mergeCell ref="Q41:Q43"/>
    <mergeCell ref="R41:R43"/>
    <mergeCell ref="S41:S43"/>
    <mergeCell ref="T37:T38"/>
    <mergeCell ref="U37:U38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E10:AE16"/>
    <mergeCell ref="V19:V20"/>
    <mergeCell ref="W19:W20"/>
    <mergeCell ref="X19:X20"/>
    <mergeCell ref="Z19:Z20"/>
    <mergeCell ref="AA19:AA20"/>
    <mergeCell ref="AB19:AB20"/>
    <mergeCell ref="AC19:AC20"/>
    <mergeCell ref="AE17:AE18"/>
    <mergeCell ref="V17:V18"/>
    <mergeCell ref="W17:W18"/>
    <mergeCell ref="X17:X18"/>
    <mergeCell ref="Z17:Z18"/>
    <mergeCell ref="AA17:AA18"/>
    <mergeCell ref="AB17:AB18"/>
    <mergeCell ref="AC17:AC18"/>
    <mergeCell ref="AE19:AE20"/>
    <mergeCell ref="T10:T16"/>
    <mergeCell ref="V10:V16"/>
    <mergeCell ref="W10:W16"/>
    <mergeCell ref="X10:X16"/>
    <mergeCell ref="Z10:Z16"/>
    <mergeCell ref="AA10:AA16"/>
    <mergeCell ref="AB10:AB16"/>
    <mergeCell ref="AC10:AC16"/>
    <mergeCell ref="K37:K38"/>
    <mergeCell ref="N37:N38"/>
    <mergeCell ref="O37:O38"/>
    <mergeCell ref="P37:P38"/>
    <mergeCell ref="Q37:Q38"/>
    <mergeCell ref="R37:R38"/>
    <mergeCell ref="S37:S38"/>
    <mergeCell ref="X21:X23"/>
    <mergeCell ref="AA21:AA23"/>
    <mergeCell ref="AB21:AB23"/>
    <mergeCell ref="AC21:AC23"/>
    <mergeCell ref="AB29:AB30"/>
    <mergeCell ref="X27:X28"/>
    <mergeCell ref="U27:U28"/>
    <mergeCell ref="V27:V28"/>
    <mergeCell ref="Z27:Z28"/>
    <mergeCell ref="AL7:AL9"/>
    <mergeCell ref="A10:A16"/>
    <mergeCell ref="B10:B16"/>
    <mergeCell ref="C10:C16"/>
    <mergeCell ref="D10:D16"/>
    <mergeCell ref="E10:E16"/>
    <mergeCell ref="F10:F16"/>
    <mergeCell ref="G10:G16"/>
    <mergeCell ref="H10:H16"/>
    <mergeCell ref="I10:I16"/>
    <mergeCell ref="J10:J16"/>
    <mergeCell ref="K10:K16"/>
    <mergeCell ref="N10:N16"/>
    <mergeCell ref="O10:O16"/>
    <mergeCell ref="P10:P16"/>
    <mergeCell ref="Q10:Q16"/>
    <mergeCell ref="R10:R16"/>
    <mergeCell ref="S10:S16"/>
    <mergeCell ref="T7:T9"/>
    <mergeCell ref="AG10:AG16"/>
    <mergeCell ref="AH10:AH16"/>
    <mergeCell ref="AI10:AI16"/>
    <mergeCell ref="AL10:AL16"/>
    <mergeCell ref="AA5:AA6"/>
    <mergeCell ref="AB5:AB6"/>
    <mergeCell ref="AE7:AE9"/>
    <mergeCell ref="AF7:AF9"/>
    <mergeCell ref="AG7:AG9"/>
    <mergeCell ref="AH7:AH9"/>
    <mergeCell ref="AI7:AI9"/>
    <mergeCell ref="AE5:AE6"/>
    <mergeCell ref="AF5:AF6"/>
    <mergeCell ref="AG5:AG6"/>
    <mergeCell ref="AH5:AH6"/>
    <mergeCell ref="AI5:AI6"/>
    <mergeCell ref="Q7:Q9"/>
    <mergeCell ref="R7:R9"/>
    <mergeCell ref="S7:S9"/>
    <mergeCell ref="M2:N2"/>
    <mergeCell ref="R2:S2"/>
    <mergeCell ref="T2:U2"/>
    <mergeCell ref="AE2:AF2"/>
    <mergeCell ref="V7:V9"/>
    <mergeCell ref="W7:W9"/>
    <mergeCell ref="X7:X9"/>
    <mergeCell ref="Z7:Z9"/>
    <mergeCell ref="AA7:AA9"/>
    <mergeCell ref="AB7:AB9"/>
    <mergeCell ref="AC7:AC9"/>
    <mergeCell ref="Q2:Q3"/>
    <mergeCell ref="Y2:Y3"/>
    <mergeCell ref="V2:X2"/>
    <mergeCell ref="Z2:AA2"/>
    <mergeCell ref="AB2:AC2"/>
    <mergeCell ref="U5:U6"/>
    <mergeCell ref="V5:V6"/>
    <mergeCell ref="W5:W6"/>
    <mergeCell ref="X5:X6"/>
    <mergeCell ref="Z5:Z6"/>
    <mergeCell ref="F7:F9"/>
    <mergeCell ref="G7:G9"/>
    <mergeCell ref="H7:H9"/>
    <mergeCell ref="I7:I9"/>
    <mergeCell ref="J7:J9"/>
    <mergeCell ref="K7:K9"/>
    <mergeCell ref="N7:N9"/>
    <mergeCell ref="O7:O9"/>
    <mergeCell ref="P7:P9"/>
    <mergeCell ref="AJ2:AJ3"/>
    <mergeCell ref="AK2:AK3"/>
    <mergeCell ref="AL2:AL3"/>
    <mergeCell ref="A7:A9"/>
    <mergeCell ref="B7:B9"/>
    <mergeCell ref="C7:C9"/>
    <mergeCell ref="D7:D9"/>
    <mergeCell ref="AG2:AI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O2:O3"/>
    <mergeCell ref="P2:P3"/>
    <mergeCell ref="AD2:AD3"/>
    <mergeCell ref="E7:E9"/>
  </mergeCells>
  <pageMargins left="0.27" right="0" top="0.47" bottom="0" header="0.39370078740157483" footer="0"/>
  <pageSetup paperSize="8" scale="38" fitToHeight="0"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93BC7-8474-497C-8765-EE4229127CD1}">
  <dimension ref="A1:E11"/>
  <sheetViews>
    <sheetView workbookViewId="0">
      <selection activeCell="B9" sqref="B9"/>
    </sheetView>
  </sheetViews>
  <sheetFormatPr defaultRowHeight="14.4" x14ac:dyDescent="0.3"/>
  <cols>
    <col min="1" max="1" width="46.88671875" customWidth="1"/>
    <col min="2" max="2" width="98.77734375" customWidth="1"/>
  </cols>
  <sheetData>
    <row r="1" spans="1:5" ht="30.6" customHeight="1" x14ac:dyDescent="0.3">
      <c r="A1" t="s">
        <v>115</v>
      </c>
    </row>
    <row r="2" spans="1:5" ht="30.6" customHeight="1" x14ac:dyDescent="0.3">
      <c r="A2" t="s">
        <v>116</v>
      </c>
    </row>
    <row r="3" spans="1:5" ht="30.6" customHeight="1" x14ac:dyDescent="0.3">
      <c r="A3" t="s">
        <v>117</v>
      </c>
    </row>
    <row r="4" spans="1:5" ht="30.6" customHeight="1" x14ac:dyDescent="0.3">
      <c r="A4" t="s">
        <v>118</v>
      </c>
    </row>
    <row r="5" spans="1:5" ht="30.6" customHeight="1" x14ac:dyDescent="0.3"/>
    <row r="6" spans="1:5" ht="30.6" customHeight="1" x14ac:dyDescent="0.3"/>
    <row r="7" spans="1:5" ht="30.6" customHeight="1" x14ac:dyDescent="0.3"/>
    <row r="8" spans="1:5" ht="30.6" customHeight="1" x14ac:dyDescent="0.3"/>
    <row r="9" spans="1:5" ht="30.6" customHeight="1" x14ac:dyDescent="0.3"/>
    <row r="11" spans="1:5" x14ac:dyDescent="0.3">
      <c r="E11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2026-02-13T12:55:08Z</dcterms:created>
  <dcterms:modified xsi:type="dcterms:W3CDTF">2026-04-17T10:03:01Z</dcterms:modified>
  <cp:category/>
</cp:coreProperties>
</file>