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217" documentId="8_{183D681D-2198-47D4-82BF-97AE2537AFAD}" xr6:coauthVersionLast="47" xr6:coauthVersionMax="47" xr10:uidLastSave="{F22E3386-B8ED-4CD8-B3DB-CFF267AB2F87}"/>
  <bookViews>
    <workbookView xWindow="-108" yWindow="-108" windowWidth="23256" windowHeight="12576" xr2:uid="{00000000-000D-0000-FFFF-FFFF00000000}"/>
  </bookViews>
  <sheets>
    <sheet name="Sheet 1" sheetId="1" r:id="rId1"/>
  </sheets>
  <definedNames>
    <definedName name="_xlnm.Print_Area" localSheetId="0">'Sheet 1'!$A$1:$AL$11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6" i="1" l="1"/>
  <c r="AK7" i="1"/>
  <c r="AK5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</future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<sst xmlns="http://schemas.openxmlformats.org/spreadsheetml/2006/main" count="121" uniqueCount="70">
  <si>
    <t>S.No</t>
  </si>
  <si>
    <t>Buyer</t>
  </si>
  <si>
    <t>Factory</t>
  </si>
  <si>
    <t>Customer Season</t>
  </si>
  <si>
    <t>Style No</t>
  </si>
  <si>
    <t>Style Name</t>
  </si>
  <si>
    <t>Image</t>
  </si>
  <si>
    <t>Style Description</t>
  </si>
  <si>
    <t>Fabric Quality</t>
  </si>
  <si>
    <t>Treatment</t>
  </si>
  <si>
    <t>Buyer Po No</t>
  </si>
  <si>
    <t>Color</t>
  </si>
  <si>
    <t>Quantity</t>
  </si>
  <si>
    <t>Original order received Dt</t>
  </si>
  <si>
    <t>Etd Ex factory as per P.O</t>
  </si>
  <si>
    <t>Factory Confirmed Dt</t>
  </si>
  <si>
    <t>Trims Inhouse</t>
  </si>
  <si>
    <t>Fabric Inhouse</t>
  </si>
  <si>
    <t>Cut Qty</t>
  </si>
  <si>
    <t>Sewing Start</t>
  </si>
  <si>
    <t>Sewing End</t>
  </si>
  <si>
    <t>Sewing Qty</t>
  </si>
  <si>
    <t>Inspection</t>
  </si>
  <si>
    <t>Ex Factory Shipment</t>
  </si>
  <si>
    <t>Shipped Qty</t>
  </si>
  <si>
    <t>Balance Qty</t>
  </si>
  <si>
    <t>Remarks</t>
  </si>
  <si>
    <t>Col</t>
  </si>
  <si>
    <t>Qty</t>
  </si>
  <si>
    <t>Planned</t>
  </si>
  <si>
    <t>Actual</t>
  </si>
  <si>
    <t>Extended</t>
  </si>
  <si>
    <t>MARC O'POLO INTERNATIONAL GMBH</t>
  </si>
  <si>
    <t>WARSAW INTERNATIONAL</t>
  </si>
  <si>
    <t>MANOS08</t>
  </si>
  <si>
    <t>DWJE MANOS 08 1000000052 5000006286</t>
  </si>
  <si>
    <t>FABRIC DYE + PANEL WASH</t>
  </si>
  <si>
    <t>4139–NAVY TEAL</t>
  </si>
  <si>
    <t>04-MAR-2026</t>
  </si>
  <si>
    <t>19-MAY-2026</t>
  </si>
  <si>
    <t>05-MAY-2026</t>
  </si>
  <si>
    <t>07-APR-2026</t>
  </si>
  <si>
    <t>13-APR-2026</t>
  </si>
  <si>
    <t>28-APR-2026</t>
  </si>
  <si>
    <t>DWJE MANOS 08 1000000099 5000006283</t>
  </si>
  <si>
    <t>1183 - SILKY WHITE</t>
  </si>
  <si>
    <t>DWJE MANOS 08 1000000095 5000006278</t>
  </si>
  <si>
    <t>01-APR-2026</t>
  </si>
  <si>
    <t>06-APR-2026</t>
  </si>
  <si>
    <t>01-MAY-2026</t>
  </si>
  <si>
    <t>DWJE MANOS 08 1000000099 5000007827</t>
  </si>
  <si>
    <t>0001-BLACK</t>
  </si>
  <si>
    <t>7000022456, 7000022457</t>
  </si>
  <si>
    <t>1183-SILKY WHITE</t>
  </si>
  <si>
    <t>4133 - BLUE DEPTHS</t>
  </si>
  <si>
    <t>Grand Total</t>
  </si>
  <si>
    <t>CIRCULAR KNIT WOMEN'S SWEAT SHIRT</t>
  </si>
  <si>
    <t>CIRCULAR KNIT WOMEN'S TSHIRT</t>
  </si>
  <si>
    <t>CIRCULAR KNIT WOMEN'S TANK TOP</t>
  </si>
  <si>
    <t>Sizeset Submission</t>
  </si>
  <si>
    <t>Approved</t>
  </si>
  <si>
    <t>Marc O'Polo Denim Girls W26(1) NOS order status  - Bulk Production</t>
  </si>
  <si>
    <t>DIAGONAL FRENCH TERRY/100% ORGANIC COTTON/34S/260/ FABRIC DYED + PANEL WASHED</t>
  </si>
  <si>
    <t>4X3 RIB/96% ORGANIC COTTON 4% ELASTHANE/34S/ 230/ FABRIC DYED + PANEL WASHED</t>
  </si>
  <si>
    <t>2X2 RIB/96% ORGANIC COTTON 4% ELASTHANE/50S/180// FABRIC DYED + PANEL WASHED</t>
  </si>
  <si>
    <t>4X3 RIB/96% ORGANIC COTTON 4% ELASTHANE/34S/ 230/FABRIC DYED + PANEL WASHED</t>
  </si>
  <si>
    <t>Cut, await line</t>
  </si>
  <si>
    <t>U/ sewing.</t>
  </si>
  <si>
    <t xml:space="preserve">OK. FI. Booking confirmed. </t>
  </si>
  <si>
    <t>Ready for FI; Booking received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</si>
</sst>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4"/>
      <name val="Open Sans"/>
      <family val="2"/>
    </font>
    <font>
      <b/>
      <sz val="12"/>
      <name val="Open Sans"/>
      <family val="2"/>
    </font>
    <font>
      <sz val="12"/>
      <name val="Open Sans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0FFFF"/>
        <bgColor rgb="FF0000FF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14" fontId="4" fillId="0" borderId="1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0" fillId="0" borderId="15" xfId="0" applyBorder="1"/>
    <xf numFmtId="0" fontId="3" fillId="0" borderId="15" xfId="0" applyFont="1" applyBorder="1" applyAlignment="1">
      <alignment horizontal="center" vertical="center" wrapText="1"/>
    </xf>
    <xf numFmtId="0" fontId="0" fillId="0" borderId="11" xfId="0" applyBorder="1"/>
    <xf numFmtId="16" fontId="3" fillId="0" borderId="3" xfId="0" applyNumberFormat="1" applyFont="1" applyBorder="1" applyAlignment="1">
      <alignment horizontal="center" vertical="center" wrapText="1"/>
    </xf>
    <xf numFmtId="16" fontId="3" fillId="0" borderId="1" xfId="0" applyNumberFormat="1" applyFont="1" applyBorder="1" applyAlignment="1">
      <alignment horizontal="center" vertical="center" wrapText="1"/>
    </xf>
    <xf numFmtId="16" fontId="3" fillId="3" borderId="3" xfId="0" applyNumberFormat="1" applyFont="1" applyFill="1" applyBorder="1" applyAlignment="1">
      <alignment horizontal="center" vertical="center" wrapText="1"/>
    </xf>
    <xf numFmtId="16" fontId="3" fillId="3" borderId="1" xfId="0" applyNumberFormat="1" applyFont="1" applyFill="1" applyBorder="1" applyAlignment="1">
      <alignment horizontal="center" vertical="center" wrapText="1"/>
    </xf>
    <xf numFmtId="16" fontId="3" fillId="3" borderId="1" xfId="0" applyNumberFormat="1" applyFont="1" applyFill="1" applyBorder="1" applyAlignment="1">
      <alignment vertical="center" wrapText="1"/>
    </xf>
    <xf numFmtId="16" fontId="3" fillId="3" borderId="6" xfId="0" applyNumberFormat="1" applyFont="1" applyFill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3" fillId="0" borderId="15" xfId="0" applyFont="1" applyBorder="1" applyAlignment="1">
      <alignment vertical="center" wrapText="1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16" fontId="3" fillId="0" borderId="1" xfId="0" applyNumberFormat="1" applyFont="1" applyBorder="1" applyAlignment="1">
      <alignment horizontal="center" vertical="center" wrapText="1"/>
    </xf>
    <xf numFmtId="16" fontId="3" fillId="3" borderId="1" xfId="0" applyNumberFormat="1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15" fontId="3" fillId="0" borderId="1" xfId="0" applyNumberFormat="1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81520</xdr:rowOff>
    </xdr:from>
    <xdr:ext cx="2286000" cy="381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81520"/>
          <a:ext cx="2286000" cy="381000"/>
        </a:xfrm>
        <a:prstGeom prst="rect">
          <a:avLst/>
        </a:prstGeom>
      </xdr:spPr>
    </xdr:pic>
    <xdr:clientData/>
  </xdr:one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">
  <rv s="0">
    <v>0</v>
    <v>5</v>
  </rv>
  <rv s="0">
    <v>1</v>
    <v>5</v>
  </rv>
  <rv s="0">
    <v>2</v>
    <v>5</v>
  </rv>
  <rv s="0">
    <v>3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L10"/>
  <sheetViews>
    <sheetView tabSelected="1" topLeftCell="A3" zoomScale="67" zoomScaleNormal="67" workbookViewId="0">
      <selection activeCell="I6" sqref="I6"/>
    </sheetView>
  </sheetViews>
  <sheetFormatPr defaultRowHeight="14.4" x14ac:dyDescent="0.3"/>
  <cols>
    <col min="1" max="1" width="6" customWidth="1"/>
    <col min="2" max="2" width="18.21875" customWidth="1"/>
    <col min="3" max="3" width="17.88671875" customWidth="1"/>
    <col min="4" max="4" width="12" customWidth="1"/>
    <col min="5" max="5" width="20" customWidth="1"/>
    <col min="6" max="6" width="15.88671875" customWidth="1"/>
    <col min="7" max="7" width="20" customWidth="1"/>
    <col min="8" max="8" width="15.77734375" hidden="1" customWidth="1"/>
    <col min="9" max="9" width="21.33203125" customWidth="1"/>
    <col min="10" max="10" width="13.77734375" hidden="1" customWidth="1"/>
    <col min="11" max="11" width="13.6640625" customWidth="1"/>
    <col min="12" max="12" width="12.44140625" customWidth="1"/>
    <col min="13" max="14" width="9.77734375" customWidth="1"/>
    <col min="15" max="15" width="12.77734375" customWidth="1"/>
    <col min="16" max="16" width="12.77734375" hidden="1" customWidth="1"/>
    <col min="17" max="17" width="12.77734375" customWidth="1"/>
    <col min="18" max="37" width="11.77734375" customWidth="1"/>
    <col min="38" max="38" width="32.44140625" customWidth="1"/>
  </cols>
  <sheetData>
    <row r="1" spans="1:38" ht="36.6" customHeight="1" thickBot="1" x14ac:dyDescent="0.85">
      <c r="A1" s="21" t="s">
        <v>61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3"/>
      <c r="AL1" s="3">
        <v>46085</v>
      </c>
    </row>
    <row r="2" spans="1:38" ht="30" customHeight="1" x14ac:dyDescent="0.3">
      <c r="A2" s="38" t="s">
        <v>0</v>
      </c>
      <c r="B2" s="30" t="s">
        <v>1</v>
      </c>
      <c r="C2" s="30" t="s">
        <v>2</v>
      </c>
      <c r="D2" s="30" t="s">
        <v>3</v>
      </c>
      <c r="E2" s="30" t="s">
        <v>4</v>
      </c>
      <c r="F2" s="30" t="s">
        <v>5</v>
      </c>
      <c r="G2" s="30" t="s">
        <v>6</v>
      </c>
      <c r="H2" s="30" t="s">
        <v>7</v>
      </c>
      <c r="I2" s="30" t="s">
        <v>8</v>
      </c>
      <c r="J2" s="30" t="s">
        <v>9</v>
      </c>
      <c r="K2" s="30" t="s">
        <v>10</v>
      </c>
      <c r="L2" s="30" t="s">
        <v>11</v>
      </c>
      <c r="M2" s="30" t="s">
        <v>12</v>
      </c>
      <c r="N2" s="30"/>
      <c r="O2" s="30" t="s">
        <v>13</v>
      </c>
      <c r="P2" s="30" t="s">
        <v>14</v>
      </c>
      <c r="Q2" s="30" t="s">
        <v>15</v>
      </c>
      <c r="R2" s="30" t="s">
        <v>16</v>
      </c>
      <c r="S2" s="30"/>
      <c r="T2" s="30" t="s">
        <v>17</v>
      </c>
      <c r="U2" s="30"/>
      <c r="V2" s="30" t="s">
        <v>59</v>
      </c>
      <c r="W2" s="30"/>
      <c r="X2" s="30"/>
      <c r="Y2" s="30" t="s">
        <v>18</v>
      </c>
      <c r="Z2" s="30" t="s">
        <v>19</v>
      </c>
      <c r="AA2" s="30"/>
      <c r="AB2" s="30" t="s">
        <v>20</v>
      </c>
      <c r="AC2" s="30"/>
      <c r="AD2" s="30" t="s">
        <v>21</v>
      </c>
      <c r="AE2" s="30" t="s">
        <v>22</v>
      </c>
      <c r="AF2" s="30"/>
      <c r="AG2" s="30" t="s">
        <v>23</v>
      </c>
      <c r="AH2" s="30"/>
      <c r="AI2" s="30"/>
      <c r="AJ2" s="30" t="s">
        <v>24</v>
      </c>
      <c r="AK2" s="30" t="s">
        <v>25</v>
      </c>
      <c r="AL2" s="34" t="s">
        <v>26</v>
      </c>
    </row>
    <row r="3" spans="1:38" ht="31.95" customHeight="1" thickBot="1" x14ac:dyDescent="0.35">
      <c r="A3" s="39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2" t="s">
        <v>27</v>
      </c>
      <c r="N3" s="2" t="s">
        <v>28</v>
      </c>
      <c r="O3" s="31"/>
      <c r="P3" s="31"/>
      <c r="Q3" s="31"/>
      <c r="R3" s="2" t="s">
        <v>29</v>
      </c>
      <c r="S3" s="2" t="s">
        <v>30</v>
      </c>
      <c r="T3" s="2" t="s">
        <v>29</v>
      </c>
      <c r="U3" s="2" t="s">
        <v>30</v>
      </c>
      <c r="V3" s="2" t="s">
        <v>29</v>
      </c>
      <c r="W3" s="2" t="s">
        <v>30</v>
      </c>
      <c r="X3" s="2" t="s">
        <v>60</v>
      </c>
      <c r="Y3" s="31"/>
      <c r="Z3" s="2" t="s">
        <v>29</v>
      </c>
      <c r="AA3" s="2" t="s">
        <v>30</v>
      </c>
      <c r="AB3" s="2" t="s">
        <v>29</v>
      </c>
      <c r="AC3" s="2" t="s">
        <v>30</v>
      </c>
      <c r="AD3" s="31"/>
      <c r="AE3" s="2" t="s">
        <v>29</v>
      </c>
      <c r="AF3" s="2" t="s">
        <v>30</v>
      </c>
      <c r="AG3" s="2" t="s">
        <v>29</v>
      </c>
      <c r="AH3" s="2" t="s">
        <v>30</v>
      </c>
      <c r="AI3" s="2" t="s">
        <v>31</v>
      </c>
      <c r="AJ3" s="31"/>
      <c r="AK3" s="31"/>
      <c r="AL3" s="35"/>
    </row>
    <row r="4" spans="1:38" ht="120" customHeight="1" x14ac:dyDescent="0.3">
      <c r="A4" s="4">
        <v>1</v>
      </c>
      <c r="B4" s="5" t="s">
        <v>32</v>
      </c>
      <c r="C4" s="5" t="s">
        <v>33</v>
      </c>
      <c r="D4" s="5" t="s">
        <v>34</v>
      </c>
      <c r="E4" s="5" t="s">
        <v>35</v>
      </c>
      <c r="F4" s="5">
        <v>3000000763</v>
      </c>
      <c r="G4" s="5" t="e" vm="1">
        <v>#VALUE!</v>
      </c>
      <c r="H4" s="5" t="s">
        <v>56</v>
      </c>
      <c r="I4" s="5" t="s">
        <v>62</v>
      </c>
      <c r="J4" s="5" t="s">
        <v>36</v>
      </c>
      <c r="K4" s="5">
        <v>7000022459</v>
      </c>
      <c r="L4" s="5" t="s">
        <v>37</v>
      </c>
      <c r="M4" s="5">
        <v>1420</v>
      </c>
      <c r="N4" s="5">
        <v>1420</v>
      </c>
      <c r="O4" s="5" t="s">
        <v>38</v>
      </c>
      <c r="P4" s="5" t="s">
        <v>39</v>
      </c>
      <c r="Q4" s="1" t="s">
        <v>40</v>
      </c>
      <c r="R4" s="13">
        <v>46106</v>
      </c>
      <c r="S4" s="13">
        <v>46106</v>
      </c>
      <c r="T4" s="13">
        <v>46101</v>
      </c>
      <c r="U4" s="15">
        <v>46103</v>
      </c>
      <c r="V4" s="13">
        <v>46104</v>
      </c>
      <c r="W4" s="15">
        <v>46108</v>
      </c>
      <c r="X4" s="15">
        <v>46108</v>
      </c>
      <c r="Y4" s="5">
        <v>1554</v>
      </c>
      <c r="Z4" s="13">
        <v>46135</v>
      </c>
      <c r="AA4" s="5"/>
      <c r="AB4" s="13">
        <v>46139</v>
      </c>
      <c r="AC4" s="5"/>
      <c r="AD4" s="5"/>
      <c r="AE4" s="13">
        <v>46142</v>
      </c>
      <c r="AF4" s="5"/>
      <c r="AG4" s="13"/>
      <c r="AH4" s="5"/>
      <c r="AI4" s="5"/>
      <c r="AJ4" s="5"/>
      <c r="AK4" s="5">
        <v>-1420</v>
      </c>
      <c r="AL4" s="6" t="s">
        <v>66</v>
      </c>
    </row>
    <row r="5" spans="1:38" ht="120" customHeight="1" x14ac:dyDescent="0.3">
      <c r="A5" s="7">
        <v>2</v>
      </c>
      <c r="B5" s="1" t="s">
        <v>32</v>
      </c>
      <c r="C5" s="1" t="s">
        <v>33</v>
      </c>
      <c r="D5" s="1" t="s">
        <v>34</v>
      </c>
      <c r="E5" s="1" t="s">
        <v>44</v>
      </c>
      <c r="F5" s="1">
        <v>3000001132</v>
      </c>
      <c r="G5" s="1" t="e" vm="2">
        <v>#VALUE!</v>
      </c>
      <c r="H5" s="1" t="s">
        <v>57</v>
      </c>
      <c r="I5" s="1" t="s">
        <v>63</v>
      </c>
      <c r="J5" s="1" t="s">
        <v>36</v>
      </c>
      <c r="K5" s="1">
        <v>7000022450</v>
      </c>
      <c r="L5" s="1" t="s">
        <v>45</v>
      </c>
      <c r="M5" s="1">
        <v>1050</v>
      </c>
      <c r="N5" s="1">
        <v>1050</v>
      </c>
      <c r="O5" s="1" t="s">
        <v>38</v>
      </c>
      <c r="P5" s="1" t="s">
        <v>39</v>
      </c>
      <c r="Q5" s="1" t="s">
        <v>40</v>
      </c>
      <c r="R5" s="14">
        <v>46106</v>
      </c>
      <c r="S5" s="14">
        <v>46099</v>
      </c>
      <c r="T5" s="1" t="s">
        <v>41</v>
      </c>
      <c r="U5" s="16">
        <v>46099</v>
      </c>
      <c r="V5" s="1" t="s">
        <v>42</v>
      </c>
      <c r="W5" s="16">
        <v>46094</v>
      </c>
      <c r="X5" s="16">
        <v>46094</v>
      </c>
      <c r="Y5" s="1">
        <v>1148</v>
      </c>
      <c r="Z5" s="14">
        <v>46139</v>
      </c>
      <c r="AA5" s="16">
        <v>46139</v>
      </c>
      <c r="AB5" s="14">
        <v>46142</v>
      </c>
      <c r="AC5" s="16">
        <v>46142</v>
      </c>
      <c r="AD5" s="1">
        <v>1145</v>
      </c>
      <c r="AE5" s="14">
        <v>46144</v>
      </c>
      <c r="AF5" s="16">
        <v>46128</v>
      </c>
      <c r="AG5" s="14">
        <v>46147</v>
      </c>
      <c r="AH5" s="14">
        <v>46137</v>
      </c>
      <c r="AI5" s="1"/>
      <c r="AJ5" s="1">
        <v>1082</v>
      </c>
      <c r="AK5" s="1">
        <f>AJ5-N5</f>
        <v>32</v>
      </c>
      <c r="AL5" s="8" t="s">
        <v>68</v>
      </c>
    </row>
    <row r="6" spans="1:38" ht="120" customHeight="1" x14ac:dyDescent="0.3">
      <c r="A6" s="7">
        <v>3</v>
      </c>
      <c r="B6" s="1" t="s">
        <v>32</v>
      </c>
      <c r="C6" s="1" t="s">
        <v>33</v>
      </c>
      <c r="D6" s="1" t="s">
        <v>34</v>
      </c>
      <c r="E6" s="1" t="s">
        <v>46</v>
      </c>
      <c r="F6" s="1">
        <v>3000000072</v>
      </c>
      <c r="G6" s="1" t="e" vm="3">
        <v>#VALUE!</v>
      </c>
      <c r="H6" s="1" t="s">
        <v>58</v>
      </c>
      <c r="I6" s="1" t="s">
        <v>64</v>
      </c>
      <c r="J6" s="1" t="s">
        <v>36</v>
      </c>
      <c r="K6" s="1">
        <v>7000022449</v>
      </c>
      <c r="L6" s="1" t="s">
        <v>45</v>
      </c>
      <c r="M6" s="1">
        <v>760</v>
      </c>
      <c r="N6" s="1">
        <v>760</v>
      </c>
      <c r="O6" s="1" t="s">
        <v>38</v>
      </c>
      <c r="P6" s="1" t="s">
        <v>40</v>
      </c>
      <c r="Q6" s="1" t="s">
        <v>43</v>
      </c>
      <c r="R6" s="1" t="s">
        <v>47</v>
      </c>
      <c r="S6" s="14">
        <v>46106</v>
      </c>
      <c r="T6" s="1" t="s">
        <v>47</v>
      </c>
      <c r="U6" s="16">
        <v>46094</v>
      </c>
      <c r="V6" s="1" t="s">
        <v>48</v>
      </c>
      <c r="W6" s="16">
        <v>46094</v>
      </c>
      <c r="X6" s="16">
        <v>46122</v>
      </c>
      <c r="Y6" s="1">
        <v>850</v>
      </c>
      <c r="Z6" s="14">
        <v>46119</v>
      </c>
      <c r="AA6" s="16">
        <v>46119</v>
      </c>
      <c r="AB6" s="14">
        <v>46120</v>
      </c>
      <c r="AC6" s="16">
        <v>46120</v>
      </c>
      <c r="AD6" s="1">
        <v>848</v>
      </c>
      <c r="AE6" s="14">
        <v>46123</v>
      </c>
      <c r="AF6" s="16">
        <v>46128</v>
      </c>
      <c r="AG6" s="14">
        <v>46147</v>
      </c>
      <c r="AH6" s="14">
        <v>46137</v>
      </c>
      <c r="AI6" s="1"/>
      <c r="AJ6" s="1">
        <v>809</v>
      </c>
      <c r="AK6" s="1">
        <f t="shared" ref="AK6:AK7" si="0">AJ6-N6</f>
        <v>49</v>
      </c>
      <c r="AL6" s="8" t="s">
        <v>68</v>
      </c>
    </row>
    <row r="7" spans="1:38" ht="120" customHeight="1" x14ac:dyDescent="0.3">
      <c r="A7" s="7">
        <v>4</v>
      </c>
      <c r="B7" s="1" t="s">
        <v>32</v>
      </c>
      <c r="C7" s="1" t="s">
        <v>33</v>
      </c>
      <c r="D7" s="1" t="s">
        <v>34</v>
      </c>
      <c r="E7" s="1" t="s">
        <v>50</v>
      </c>
      <c r="F7" s="1">
        <v>3000000459</v>
      </c>
      <c r="G7" s="1" t="e" vm="4">
        <v>#VALUE!</v>
      </c>
      <c r="H7" s="1" t="s">
        <v>57</v>
      </c>
      <c r="I7" s="1" t="s">
        <v>65</v>
      </c>
      <c r="J7" s="1" t="s">
        <v>36</v>
      </c>
      <c r="K7" s="1">
        <v>7000022458</v>
      </c>
      <c r="L7" s="1" t="s">
        <v>51</v>
      </c>
      <c r="M7" s="1">
        <v>1130</v>
      </c>
      <c r="N7" s="1">
        <v>1130</v>
      </c>
      <c r="O7" s="1" t="s">
        <v>38</v>
      </c>
      <c r="P7" s="1" t="s">
        <v>40</v>
      </c>
      <c r="Q7" s="1" t="s">
        <v>43</v>
      </c>
      <c r="R7" s="1" t="s">
        <v>47</v>
      </c>
      <c r="S7" s="14">
        <v>46106</v>
      </c>
      <c r="T7" s="1" t="s">
        <v>47</v>
      </c>
      <c r="U7" s="16">
        <v>46094</v>
      </c>
      <c r="V7" s="1" t="s">
        <v>48</v>
      </c>
      <c r="W7" s="16">
        <v>46094</v>
      </c>
      <c r="X7" s="16">
        <v>46094</v>
      </c>
      <c r="Y7" s="1">
        <v>1237</v>
      </c>
      <c r="Z7" s="14">
        <v>46101</v>
      </c>
      <c r="AA7" s="16">
        <v>46100</v>
      </c>
      <c r="AB7" s="1" t="s">
        <v>49</v>
      </c>
      <c r="AC7" s="16">
        <v>46102</v>
      </c>
      <c r="AD7" s="1">
        <v>1236</v>
      </c>
      <c r="AE7" s="14">
        <v>46106</v>
      </c>
      <c r="AF7" s="14">
        <v>46132</v>
      </c>
      <c r="AG7" s="14">
        <v>46147</v>
      </c>
      <c r="AH7" s="14">
        <v>46137</v>
      </c>
      <c r="AI7" s="1"/>
      <c r="AJ7" s="14"/>
      <c r="AK7" s="1">
        <f t="shared" si="0"/>
        <v>-1130</v>
      </c>
      <c r="AL7" s="8" t="s">
        <v>69</v>
      </c>
    </row>
    <row r="8" spans="1:38" ht="60" customHeight="1" x14ac:dyDescent="0.3">
      <c r="A8" s="36">
        <v>5</v>
      </c>
      <c r="B8" s="24" t="s">
        <v>32</v>
      </c>
      <c r="C8" s="24" t="s">
        <v>33</v>
      </c>
      <c r="D8" s="24" t="s">
        <v>34</v>
      </c>
      <c r="E8" s="24" t="s">
        <v>50</v>
      </c>
      <c r="F8" s="24">
        <v>3000000459</v>
      </c>
      <c r="G8" s="24" t="e" vm="4">
        <v>#VALUE!</v>
      </c>
      <c r="H8" s="24" t="s">
        <v>57</v>
      </c>
      <c r="I8" s="24" t="s">
        <v>65</v>
      </c>
      <c r="J8" s="24" t="s">
        <v>36</v>
      </c>
      <c r="K8" s="24" t="s">
        <v>52</v>
      </c>
      <c r="L8" s="1" t="s">
        <v>53</v>
      </c>
      <c r="M8" s="1">
        <v>1770</v>
      </c>
      <c r="N8" s="24">
        <v>2270</v>
      </c>
      <c r="O8" s="24" t="s">
        <v>38</v>
      </c>
      <c r="P8" s="24" t="s">
        <v>39</v>
      </c>
      <c r="Q8" s="29" t="s">
        <v>40</v>
      </c>
      <c r="R8" s="24" t="s">
        <v>41</v>
      </c>
      <c r="S8" s="26">
        <v>46106</v>
      </c>
      <c r="T8" s="24" t="s">
        <v>41</v>
      </c>
      <c r="U8" s="17">
        <v>46106</v>
      </c>
      <c r="V8" s="26">
        <v>46108</v>
      </c>
      <c r="W8" s="27">
        <v>46111</v>
      </c>
      <c r="X8" s="27">
        <v>46111</v>
      </c>
      <c r="Y8" s="1">
        <v>1885</v>
      </c>
      <c r="Z8" s="26">
        <v>46127</v>
      </c>
      <c r="AA8" s="26">
        <v>46120</v>
      </c>
      <c r="AB8" s="26">
        <v>46132</v>
      </c>
      <c r="AC8" s="24"/>
      <c r="AD8" s="1"/>
      <c r="AE8" s="26">
        <v>46135</v>
      </c>
      <c r="AF8" s="24"/>
      <c r="AG8" s="26">
        <v>46169</v>
      </c>
      <c r="AH8" s="24"/>
      <c r="AI8" s="24"/>
      <c r="AJ8" s="1"/>
      <c r="AK8" s="1">
        <v>-1770</v>
      </c>
      <c r="AL8" s="32" t="s">
        <v>67</v>
      </c>
    </row>
    <row r="9" spans="1:38" ht="60" customHeight="1" thickBot="1" x14ac:dyDescent="0.35">
      <c r="A9" s="37"/>
      <c r="B9" s="25"/>
      <c r="C9" s="25"/>
      <c r="D9" s="25"/>
      <c r="E9" s="25"/>
      <c r="F9" s="25"/>
      <c r="G9" s="25"/>
      <c r="H9" s="25"/>
      <c r="I9" s="25"/>
      <c r="J9" s="25"/>
      <c r="K9" s="25"/>
      <c r="L9" s="9" t="s">
        <v>54</v>
      </c>
      <c r="M9" s="9">
        <v>500</v>
      </c>
      <c r="N9" s="25"/>
      <c r="O9" s="25"/>
      <c r="P9" s="25"/>
      <c r="Q9" s="25"/>
      <c r="R9" s="25"/>
      <c r="S9" s="25"/>
      <c r="T9" s="25"/>
      <c r="U9" s="18">
        <v>46109</v>
      </c>
      <c r="V9" s="25"/>
      <c r="W9" s="28"/>
      <c r="X9" s="28"/>
      <c r="Y9" s="9">
        <v>570</v>
      </c>
      <c r="Z9" s="25"/>
      <c r="AA9" s="25"/>
      <c r="AB9" s="25"/>
      <c r="AC9" s="25"/>
      <c r="AD9" s="9"/>
      <c r="AE9" s="25"/>
      <c r="AF9" s="25"/>
      <c r="AG9" s="25"/>
      <c r="AH9" s="25"/>
      <c r="AI9" s="25"/>
      <c r="AJ9" s="9"/>
      <c r="AK9" s="1">
        <v>-500</v>
      </c>
      <c r="AL9" s="33"/>
    </row>
    <row r="10" spans="1:38" ht="18" thickBot="1" x14ac:dyDescent="0.35">
      <c r="A10" s="19" t="s">
        <v>55</v>
      </c>
      <c r="B10" s="20"/>
      <c r="C10" s="20"/>
      <c r="D10" s="20"/>
      <c r="E10" s="20"/>
      <c r="F10" s="20"/>
      <c r="G10" s="20"/>
      <c r="H10" s="20"/>
      <c r="I10" s="20"/>
      <c r="J10" s="10"/>
      <c r="K10" s="10"/>
      <c r="L10" s="10"/>
      <c r="M10" s="10"/>
      <c r="N10" s="11">
        <v>6630</v>
      </c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1">
        <v>0</v>
      </c>
      <c r="Z10" s="10"/>
      <c r="AA10" s="10"/>
      <c r="AB10" s="10"/>
      <c r="AC10" s="10"/>
      <c r="AD10" s="11">
        <v>0</v>
      </c>
      <c r="AE10" s="10"/>
      <c r="AF10" s="10"/>
      <c r="AG10" s="10"/>
      <c r="AH10" s="10"/>
      <c r="AI10" s="10"/>
      <c r="AJ10" s="11">
        <v>0</v>
      </c>
      <c r="AK10" s="11">
        <v>-6630</v>
      </c>
      <c r="AL10" s="12"/>
    </row>
  </sheetData>
  <mergeCells count="61">
    <mergeCell ref="L2:L3"/>
    <mergeCell ref="O2:O3"/>
    <mergeCell ref="P2:P3"/>
    <mergeCell ref="M2:N2"/>
    <mergeCell ref="AE2:AF2"/>
    <mergeCell ref="Q2:Q3"/>
    <mergeCell ref="Y2:Y3"/>
    <mergeCell ref="AD2:AD3"/>
    <mergeCell ref="R2:S2"/>
    <mergeCell ref="T2:U2"/>
    <mergeCell ref="V2:X2"/>
    <mergeCell ref="Z2:AA2"/>
    <mergeCell ref="AB2:AC2"/>
    <mergeCell ref="G2:G3"/>
    <mergeCell ref="H2:H3"/>
    <mergeCell ref="I2:I3"/>
    <mergeCell ref="J2:J3"/>
    <mergeCell ref="K2:K3"/>
    <mergeCell ref="B2:B3"/>
    <mergeCell ref="C2:C3"/>
    <mergeCell ref="D2:D3"/>
    <mergeCell ref="E2:E3"/>
    <mergeCell ref="F2:F3"/>
    <mergeCell ref="AK2:AK3"/>
    <mergeCell ref="AL2:AL3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N8:N9"/>
    <mergeCell ref="AG2:AI2"/>
    <mergeCell ref="A2:A3"/>
    <mergeCell ref="AL8:AL9"/>
    <mergeCell ref="Z8:Z9"/>
    <mergeCell ref="AA8:AA9"/>
    <mergeCell ref="AB8:AB9"/>
    <mergeCell ref="AC8:AC9"/>
    <mergeCell ref="AE8:AE9"/>
    <mergeCell ref="A10:I10"/>
    <mergeCell ref="A1:AK1"/>
    <mergeCell ref="AF8:AF9"/>
    <mergeCell ref="AG8:AG9"/>
    <mergeCell ref="AH8:AH9"/>
    <mergeCell ref="AI8:AI9"/>
    <mergeCell ref="T8:T9"/>
    <mergeCell ref="V8:V9"/>
    <mergeCell ref="W8:W9"/>
    <mergeCell ref="X8:X9"/>
    <mergeCell ref="O8:O9"/>
    <mergeCell ref="P8:P9"/>
    <mergeCell ref="Q8:Q9"/>
    <mergeCell ref="R8:R9"/>
    <mergeCell ref="S8:S9"/>
    <mergeCell ref="AJ2:AJ3"/>
  </mergeCells>
  <pageMargins left="0" right="0" top="0" bottom="0" header="0" footer="0"/>
  <pageSetup paperSize="8" scale="45" fitToHeight="0" orientation="landscape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 1</vt:lpstr>
      <vt:lpstr>'Sheet 1'!Print_Area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2026-03-04T09:01:27Z</dcterms:created>
  <dcterms:modified xsi:type="dcterms:W3CDTF">2026-04-22T13:47:49Z</dcterms:modified>
  <cp:category/>
</cp:coreProperties>
</file>