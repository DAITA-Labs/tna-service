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6A71BB51-F657-41EC-82CA-BDED4B31B3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Print_Titles" localSheetId="0">'Sheet 1'!$2:$3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6" i="1" l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4" i="1"/>
  <c r="AC126" i="1"/>
  <c r="X126" i="1"/>
  <c r="M126" i="1"/>
  <c r="AJ12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valueMetadata count="3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</valueMetadata>
</metadata>
</file>

<file path=xl/sharedStrings.xml><?xml version="1.0" encoding="utf-8"?>
<sst xmlns="http://schemas.openxmlformats.org/spreadsheetml/2006/main" count="633" uniqueCount="200">
  <si>
    <t>Report Generated Date: 26/12/2025 16:12</t>
  </si>
  <si>
    <t>S.No</t>
  </si>
  <si>
    <t>Buyer</t>
  </si>
  <si>
    <t>Factory</t>
  </si>
  <si>
    <t>Customer Season</t>
  </si>
  <si>
    <t>Style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</si>
  <si>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</si>
  <si>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</si>
  <si>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</si>
  <si>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</si>
  <si>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</si>
  <si>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</si>
  <si>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</si>
  <si>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</si>
  <si>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</si>
  <si>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</si>
  <si>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</si>
  <si>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</si>
  <si>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PPS Submission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</si>
  <si>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</si>
  <si>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</si>
  <si>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</si>
  <si>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</si>
  <si>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</si>
  <si>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</si>
  <si>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</si>
  <si>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</si>
  <si>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</si>
  <si>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</si>
  <si>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</si>
  <si>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</si>
  <si>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</si>
  <si>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PPS Approved</t>
  </si>
  <si>
    <t>Extended</t>
  </si>
  <si>
    <t>MARC O'POLO INTERNATIONAL GMBH</t>
  </si>
  <si>
    <t>BVK EXPORTS INDIA PRIVATE LIMITED</t>
  </si>
  <si>
    <t>CE08</t>
  </si>
  <si>
    <t>CWJE FW26 08 1000002497 5000014861</t>
  </si>
  <si>
    <t>CIRCULAR KNIT WOMENS TSHIRT</t>
  </si>
  <si>
    <t>2X2 RIB/96% ORGANIC COTTON 4% ELASTHANE/36S/220/FABRIC DYED</t>
  </si>
  <si>
    <t>FABRIC DYE + PANEL WASH</t>
  </si>
  <si>
    <t>25-DEC-2025</t>
  </si>
  <si>
    <t>10-MAY-2026</t>
  </si>
  <si>
    <t>14-APR-2026</t>
  </si>
  <si>
    <t>07-MAR-2026</t>
  </si>
  <si>
    <t>1180-WHITE COTTON</t>
  </si>
  <si>
    <t>WARSAW INTERNATIONAL</t>
  </si>
  <si>
    <t>CWJE FW26 08 1000000710 5000014859</t>
  </si>
  <si>
    <t>SLUB JERSEY/100% ORGANIC COTTON/20S/155/FABRIC DYED</t>
  </si>
  <si>
    <t>7000018304, 7000018305</t>
  </si>
  <si>
    <t>CWJE FW26 08 1000002498 5000014867</t>
  </si>
  <si>
    <t>SINGLE JERSEY STRETCH/95% ECOVERA VISCOSE 5% ELASTHANE/40S/20D///32GG/190//RFD</t>
  </si>
  <si>
    <t>7000018313, 7000018314</t>
  </si>
  <si>
    <t>2532</t>
  </si>
  <si>
    <t>4792</t>
  </si>
  <si>
    <t>CWJE FW26 07 1000001294 5000016422</t>
  </si>
  <si>
    <t xml:space="preserve">CIRCULAR KNIT WOMENS SWEAT SHIRT </t>
  </si>
  <si>
    <t>FRENCH TERRY/100% ORGANIC COTTON/34S/34S/12S//20GG/290//FABRIC DYED + PEACHED + PANEL WASH</t>
  </si>
  <si>
    <t>FABRIC DYED + INSIDE BRUSHED+ PEACHED + PANEL WASH</t>
  </si>
  <si>
    <t>7000018310, 7000018311</t>
  </si>
  <si>
    <t>CWJE FW26 07 1000000711 5000016416</t>
  </si>
  <si>
    <t>SZ SLUB JERSEY/100% ORGANIC COTTON/20S/155/YARN DYED + PANEL WASH</t>
  </si>
  <si>
    <t>YARN DYED + PANEL WASH</t>
  </si>
  <si>
    <t>7000018306, 7000018307</t>
  </si>
  <si>
    <t>1543</t>
  </si>
  <si>
    <t>5138</t>
  </si>
  <si>
    <t>7027</t>
  </si>
  <si>
    <t>CWJE FW26 07 1000000711 5000016417</t>
  </si>
  <si>
    <t>7000018308, 7000018309</t>
  </si>
  <si>
    <t>4928</t>
  </si>
  <si>
    <t>Grand Total</t>
  </si>
  <si>
    <t>Marc O'Polo Women Casual W26(1) 608 - 609 Order status Report - Bulk Production</t>
  </si>
  <si>
    <t>MA08</t>
  </si>
  <si>
    <t>CWJE FW26 08 1000000711 5000012510</t>
  </si>
  <si>
    <t>7000020087, 7000020282, 7000020463, 7000020665, 7000020871</t>
  </si>
  <si>
    <t>2446-MEDIUM BEIGE_MULTI</t>
  </si>
  <si>
    <t>17-FEB-2026</t>
  </si>
  <si>
    <t>01-JUN-2026</t>
  </si>
  <si>
    <t>12-MAY-2026</t>
  </si>
  <si>
    <t>12-APR-2026</t>
  </si>
  <si>
    <t>4445-DARK BLUE_MULTI</t>
  </si>
  <si>
    <t>7030-DARK RED_MULTI</t>
  </si>
  <si>
    <t>7941-MEDIUM PINK_MULTI</t>
  </si>
  <si>
    <t>CWJE FW26 08 1000001294 5000012511</t>
  </si>
  <si>
    <t>FABRIC DYED + PEACHED + PANEL SOFTENER WASH</t>
  </si>
  <si>
    <t>7000020088, 7000020472, 7000020675, 7000020879</t>
  </si>
  <si>
    <t>0915-NATURAL</t>
  </si>
  <si>
    <t>4143-MARTIME BLUE</t>
  </si>
  <si>
    <t>6939-BLACK CHERRY</t>
  </si>
  <si>
    <t>7811-BERRY ROSE</t>
  </si>
  <si>
    <t>CWJE FW26 08 1000001294 5000012512</t>
  </si>
  <si>
    <t>CIRCULAR KNIT WOMENS HOODED SWEAT SHIRT</t>
  </si>
  <si>
    <t>7000020089, 7000020486, 7000020682, 7000020886, 7000020913</t>
  </si>
  <si>
    <t>CWJE FW26 08 1000001294 5000012513</t>
  </si>
  <si>
    <t>CIRCULAR KNIT WOMENS SWEAT PANT</t>
  </si>
  <si>
    <t>7000020090, 7000020689, 7000020918</t>
  </si>
  <si>
    <t>13-APR-2026</t>
  </si>
  <si>
    <t>26-MAY-2026</t>
  </si>
  <si>
    <t>CWJE FW26 08 1000002021 5000012911</t>
  </si>
  <si>
    <t>SINGLE JERSEY/65% LYOCELL 35% ORGANIC COTTON/32S////28GG/160//RFD</t>
  </si>
  <si>
    <t>GARMENT DYED</t>
  </si>
  <si>
    <t>7000020097, 7000020288, 7000020523, 7000020947</t>
  </si>
  <si>
    <t>22-APR-2026</t>
  </si>
  <si>
    <t>02-APR-2026</t>
  </si>
  <si>
    <t>18-APR-2026</t>
  </si>
  <si>
    <t>8168-MISTY ROSE</t>
  </si>
  <si>
    <t>CWJE FW26 08 1000002029 5000012500</t>
  </si>
  <si>
    <t>3X1 RIB/64% LYOCELL 31% ORGANIC COTTON 5% ELASTHANE/50S/20D///28GG/180//RFD</t>
  </si>
  <si>
    <t>7000020069, 7000020194, 7000020415, 7000020635, 7000020772</t>
  </si>
  <si>
    <t>1671-STONE TAUPE</t>
  </si>
  <si>
    <t>CWJE FW26 08 1000002029 5000012499</t>
  </si>
  <si>
    <t>7000020068, 7000020189, 7000020412, 7000020627, 7000020760</t>
  </si>
  <si>
    <t>CWJE FW26 08 1000002021 5000012914</t>
  </si>
  <si>
    <t>7000020098, 7000020289, 7000020531, 7000020705, 7000020956</t>
  </si>
  <si>
    <t>CWJE FW26 08 1000000710 5000012508</t>
  </si>
  <si>
    <t>FABRIC DYED</t>
  </si>
  <si>
    <t>7000020078, 7000020234, 7000020446, 7000020663, 7000020818</t>
  </si>
  <si>
    <t>7000020072, 7000020197, 7000020422, 7000020652, 7000020789</t>
  </si>
  <si>
    <t>4783-STORMY SEA</t>
  </si>
  <si>
    <t>CWJE FW26 08 1000001160 5000014807</t>
  </si>
  <si>
    <t>CIRCULAR KNIT WOMENS TANK TOP</t>
  </si>
  <si>
    <t>SINGLE JERSEY/96% ORGANIC COTTON 4% ELASTHANE/40S////28GG/160/20D/FABRIC DYED</t>
  </si>
  <si>
    <t>7000020120, 7000020608, 7000021044</t>
  </si>
  <si>
    <t>01-MAY-2026</t>
  </si>
  <si>
    <t>28-MAR-2026</t>
  </si>
  <si>
    <t>CWJE FW26 08 1000002029 5000012501</t>
  </si>
  <si>
    <t>7000020071, 7000020647, 7000020778</t>
  </si>
  <si>
    <t>CWJE FW26 08 1000000711 5000012509</t>
  </si>
  <si>
    <t>7000020080, 7000020248, 7000020452, 7000020829</t>
  </si>
  <si>
    <t>0828</t>
  </si>
  <si>
    <t>18-FEB-2026</t>
  </si>
  <si>
    <t>2446-MEDIUM BEIGE</t>
  </si>
  <si>
    <t>4931-MEDIUM BLUE_MULTI</t>
  </si>
  <si>
    <t>7945</t>
  </si>
  <si>
    <t>MA09</t>
  </si>
  <si>
    <t>CWJE FW26 09 1000002041 5000012517</t>
  </si>
  <si>
    <t>SINGLE JERSEY/97% ORGANIC COTTON 3% ELASTHANE/24S/20D///16GG/180//FABRIC DYED + PEACHED + PANEL WASH</t>
  </si>
  <si>
    <t>7000020092, 7000020284, 7000020501, 7000020932</t>
  </si>
  <si>
    <t>0344-BURNT COFFEE</t>
  </si>
  <si>
    <t>11-JUN-2026</t>
  </si>
  <si>
    <t>0925-FROSTY BLUE</t>
  </si>
  <si>
    <t>3725-SMOOTH SAGE</t>
  </si>
  <si>
    <t>CWJE FW26 08 1000002021 5000012918</t>
  </si>
  <si>
    <t>7000020100, 7000020296, 7000020537, 7000020964</t>
  </si>
  <si>
    <t>03-APR-2026</t>
  </si>
  <si>
    <t xml:space="preserve">CWJE FW26 09 1000002041 5000012981 </t>
  </si>
  <si>
    <t>CIRCULAR KNIT WOMENS POLO SHIRT LONG SLEEVE</t>
  </si>
  <si>
    <t>7000020107, 7000020326, 7000020564, 7000020727, 7000021001</t>
  </si>
  <si>
    <t>CWJE FW26 09 1000002230 5000012980</t>
  </si>
  <si>
    <t>CIRCULAR KNIT WOMENS DRESS</t>
  </si>
  <si>
    <t>SINGLE JERSEY/93% ORGANIC COTTON 7% ELASTHANE/34S/30D///28GG/185//FABRIC DYED</t>
  </si>
  <si>
    <t>7000020104, 7000020995</t>
  </si>
  <si>
    <t>0001 BLACK</t>
  </si>
  <si>
    <t>CWJE FW26 09 1000002040 5000012515</t>
  </si>
  <si>
    <t>FRENCH TERRY/100% ORGANIC COTTON/40S/2/10S///12GG/340//FABRIC DYED + BRUSHED</t>
  </si>
  <si>
    <t>FABRIC DYE + INSIDE BRUSHED + PANEL WASH</t>
  </si>
  <si>
    <t>7000020091, 7000020926</t>
  </si>
  <si>
    <t>0901-GLACIAL BLUE</t>
  </si>
  <si>
    <t>1381-DARK WALNUT</t>
  </si>
  <si>
    <t>CWJE FW26 09 1000001178 5000012881</t>
  </si>
  <si>
    <t>1X1 RIB/93% MODAL 7% ELASTHANE/50S/20D///18GG/185//FABRIC DYED</t>
  </si>
  <si>
    <t>7000020094, 7000020514, 7000020699, 7000020942</t>
  </si>
  <si>
    <t>1740-EARTHY TAUPE</t>
  </si>
  <si>
    <t>2539-SMOKY SANDS</t>
  </si>
  <si>
    <t>2910-QUIET PINE</t>
  </si>
  <si>
    <t>CWJE FW26 09 1000001178 5000012921</t>
  </si>
  <si>
    <t>7000020101, 7000020309, 7000020546, 7000020714, 7000020982</t>
  </si>
  <si>
    <t>0475-COAL GREY MELANGE</t>
  </si>
  <si>
    <t>CWJE FW26 08 1000002230 5000014724</t>
  </si>
  <si>
    <t>7000020108, 7000020335, 7000020570, 7000020732, 7000021008</t>
  </si>
  <si>
    <t>CWJE FW26 08 1000002230 5000012521</t>
  </si>
  <si>
    <t>7000020093, 7000020506, 7000020693, 7000020935</t>
  </si>
  <si>
    <t>01-APR-2026</t>
  </si>
  <si>
    <t>CWJE FW26 09 1000000710 5000014799</t>
  </si>
  <si>
    <t>7000020115, 7000020364, 7000020590, 7000020742, 7000021031</t>
  </si>
  <si>
    <t>19-APR-2026</t>
  </si>
  <si>
    <t>CWJE FW26 09 1000000710 5000012507</t>
  </si>
  <si>
    <t>7000020077, 7000020212, 7000020436, 7000020657, 7000020808</t>
  </si>
  <si>
    <t>CWJE FW26 09 1000000711 5000014798</t>
  </si>
  <si>
    <t>7000020112, 7000020340, 7000020573, 7000020736, 7000021014</t>
  </si>
  <si>
    <t>1544-DARK BROWN_MULTI</t>
  </si>
  <si>
    <t>3060-DARK GREEN_MULTI</t>
  </si>
  <si>
    <t>3665-BRIGHT GREEN_MULTI</t>
  </si>
  <si>
    <t>4444-DARK BLUE_MULTI</t>
  </si>
  <si>
    <t>5701-LIGHT BLUE-MULTI</t>
  </si>
  <si>
    <t>CWJE FW26 09 1000000711 5000012509</t>
  </si>
  <si>
    <t>CIRCULAR KNIT WOMENS T SHIRT</t>
  </si>
  <si>
    <t>7000020084, 7000020272, 7000020457, 7000020848</t>
  </si>
  <si>
    <t>3494-MID GREEN_MULTI</t>
  </si>
  <si>
    <t>1839-MID BROWN_MULTI</t>
  </si>
  <si>
    <t>CWJE FW26 08 1000000710 5000012507</t>
  </si>
  <si>
    <t>BULK FABRIC READY TO CUT</t>
  </si>
  <si>
    <t>BULK UNDER SEWING</t>
  </si>
  <si>
    <t>BULK FABRIC UNDER CUTTING</t>
  </si>
  <si>
    <t>BULK UNDER FINISHING</t>
  </si>
  <si>
    <t>BULK FABRIC UNDER PROCESS</t>
  </si>
  <si>
    <t>SHIPPED</t>
  </si>
  <si>
    <t>BULK UNDER CUTTING</t>
  </si>
  <si>
    <t>0001,</t>
  </si>
  <si>
    <t>BULK READY FOR SEWING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</si>
</sst>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name val="Open Sans"/>
      <family val="2"/>
    </font>
    <font>
      <b/>
      <sz val="12"/>
      <name val="Open Sans"/>
      <family val="2"/>
    </font>
    <font>
      <sz val="12"/>
      <name val="Open Sans"/>
      <family val="2"/>
    </font>
    <font>
      <sz val="12"/>
      <name val="Open Sans"/>
      <family val="2"/>
    </font>
    <font>
      <sz val="12"/>
      <color theme="1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5" fontId="3" fillId="4" borderId="1" xfId="0" applyNumberFormat="1" applyFont="1" applyFill="1" applyBorder="1" applyAlignment="1">
      <alignment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vertical="center" wrapText="1"/>
    </xf>
    <xf numFmtId="15" fontId="5" fillId="4" borderId="1" xfId="0" applyNumberFormat="1" applyFont="1" applyFill="1" applyBorder="1" applyAlignment="1">
      <alignment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5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5" fontId="3" fillId="4" borderId="1" xfId="0" applyNumberFormat="1" applyFont="1" applyFill="1" applyBorder="1" applyAlignment="1">
      <alignment horizontal="center" vertical="center" wrapText="1"/>
    </xf>
    <xf numFmtId="15" fontId="3" fillId="4" borderId="2" xfId="0" applyNumberFormat="1" applyFont="1" applyFill="1" applyBorder="1" applyAlignment="1">
      <alignment horizontal="center" vertical="center" wrapText="1"/>
    </xf>
    <xf numFmtId="15" fontId="3" fillId="4" borderId="4" xfId="0" applyNumberFormat="1" applyFont="1" applyFill="1" applyBorder="1" applyAlignment="1">
      <alignment horizontal="center" vertical="center" wrapText="1"/>
    </xf>
    <xf numFmtId="15" fontId="3" fillId="4" borderId="3" xfId="0" applyNumberFormat="1" applyFont="1" applyFill="1" applyBorder="1" applyAlignment="1">
      <alignment horizontal="center" vertical="center" wrapText="1"/>
    </xf>
    <xf numFmtId="16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26"/>
  <sheetViews>
    <sheetView tabSelected="1" topLeftCell="J116" zoomScale="70" zoomScaleNormal="70" zoomScaleSheetLayoutView="70" workbookViewId="0">
      <selection activeCell="AD122" sqref="AD122:AD123"/>
    </sheetView>
  </sheetViews>
  <sheetFormatPr defaultRowHeight="14.4" x14ac:dyDescent="0.3"/>
  <cols>
    <col min="1" max="1" width="6" customWidth="1"/>
    <col min="2" max="2" width="19.21875" customWidth="1"/>
    <col min="3" max="3" width="18.5546875" customWidth="1"/>
    <col min="4" max="4" width="11.88671875" customWidth="1"/>
    <col min="5" max="5" width="28.33203125" customWidth="1"/>
    <col min="6" max="6" width="20.88671875" customWidth="1"/>
    <col min="7" max="7" width="19.77734375" customWidth="1"/>
    <col min="8" max="8" width="34.109375" customWidth="1"/>
    <col min="9" max="9" width="23.109375" customWidth="1"/>
    <col min="10" max="10" width="16.88671875" customWidth="1"/>
    <col min="11" max="11" width="33" customWidth="1"/>
    <col min="12" max="12" width="11.33203125" customWidth="1"/>
    <col min="13" max="13" width="10" customWidth="1"/>
    <col min="14" max="14" width="12" customWidth="1"/>
    <col min="15" max="15" width="13" customWidth="1"/>
    <col min="16" max="36" width="12" customWidth="1"/>
    <col min="37" max="37" width="28.109375" customWidth="1"/>
  </cols>
  <sheetData>
    <row r="1" spans="1:37" ht="44.85" customHeight="1" x14ac:dyDescent="0.8">
      <c r="A1" s="23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t="s">
        <v>0</v>
      </c>
    </row>
    <row r="2" spans="1:37" ht="25.65" customHeight="1" x14ac:dyDescent="0.3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  <c r="L2" s="22" t="s">
        <v>12</v>
      </c>
      <c r="M2" s="22"/>
      <c r="N2" s="22" t="s">
        <v>13</v>
      </c>
      <c r="O2" s="22" t="s">
        <v>14</v>
      </c>
      <c r="P2" s="22" t="s">
        <v>15</v>
      </c>
      <c r="Q2" s="22" t="s">
        <v>16</v>
      </c>
      <c r="R2" s="22"/>
      <c r="S2" s="22" t="s">
        <v>17</v>
      </c>
      <c r="T2" s="22"/>
      <c r="U2" s="22" t="s">
        <v>18</v>
      </c>
      <c r="V2" s="22"/>
      <c r="W2" s="22"/>
      <c r="X2" s="22" t="s">
        <v>19</v>
      </c>
      <c r="Y2" s="22" t="s">
        <v>20</v>
      </c>
      <c r="Z2" s="22"/>
      <c r="AA2" s="22" t="s">
        <v>21</v>
      </c>
      <c r="AB2" s="22"/>
      <c r="AC2" s="22" t="s">
        <v>22</v>
      </c>
      <c r="AD2" s="22" t="s">
        <v>23</v>
      </c>
      <c r="AE2" s="22"/>
      <c r="AF2" s="22" t="s">
        <v>24</v>
      </c>
      <c r="AG2" s="22"/>
      <c r="AH2" s="22"/>
      <c r="AI2" s="22" t="s">
        <v>25</v>
      </c>
      <c r="AJ2" s="22" t="s">
        <v>26</v>
      </c>
      <c r="AK2" s="22" t="s">
        <v>27</v>
      </c>
    </row>
    <row r="3" spans="1:37" ht="25.65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1" t="s">
        <v>28</v>
      </c>
      <c r="M3" s="1" t="s">
        <v>29</v>
      </c>
      <c r="N3" s="22"/>
      <c r="O3" s="22"/>
      <c r="P3" s="22"/>
      <c r="Q3" s="1" t="s">
        <v>30</v>
      </c>
      <c r="R3" s="1" t="s">
        <v>31</v>
      </c>
      <c r="S3" s="1" t="s">
        <v>30</v>
      </c>
      <c r="T3" s="1" t="s">
        <v>31</v>
      </c>
      <c r="U3" s="1" t="s">
        <v>30</v>
      </c>
      <c r="V3" s="1" t="s">
        <v>31</v>
      </c>
      <c r="W3" s="1" t="s">
        <v>32</v>
      </c>
      <c r="X3" s="22"/>
      <c r="Y3" s="1" t="s">
        <v>30</v>
      </c>
      <c r="Z3" s="1" t="s">
        <v>31</v>
      </c>
      <c r="AA3" s="1" t="s">
        <v>30</v>
      </c>
      <c r="AB3" s="1" t="s">
        <v>31</v>
      </c>
      <c r="AC3" s="22"/>
      <c r="AD3" s="1" t="s">
        <v>30</v>
      </c>
      <c r="AE3" s="1" t="s">
        <v>31</v>
      </c>
      <c r="AF3" s="1" t="s">
        <v>30</v>
      </c>
      <c r="AG3" s="1" t="s">
        <v>31</v>
      </c>
      <c r="AH3" s="1" t="s">
        <v>33</v>
      </c>
      <c r="AI3" s="22"/>
      <c r="AJ3" s="22"/>
      <c r="AK3" s="22"/>
    </row>
    <row r="4" spans="1:37" ht="30" customHeight="1" x14ac:dyDescent="0.3">
      <c r="A4" s="10">
        <v>1</v>
      </c>
      <c r="B4" s="10" t="s">
        <v>34</v>
      </c>
      <c r="C4" s="10" t="s">
        <v>35</v>
      </c>
      <c r="D4" s="10" t="s">
        <v>36</v>
      </c>
      <c r="E4" s="10" t="s">
        <v>37</v>
      </c>
      <c r="F4" s="10" t="e" vm="1">
        <v>#VALUE!</v>
      </c>
      <c r="G4" s="10" t="s">
        <v>38</v>
      </c>
      <c r="H4" s="10" t="s">
        <v>39</v>
      </c>
      <c r="I4" s="10" t="s">
        <v>40</v>
      </c>
      <c r="J4" s="10">
        <v>7000018312</v>
      </c>
      <c r="K4" s="2" t="s">
        <v>198</v>
      </c>
      <c r="L4" s="2">
        <v>745</v>
      </c>
      <c r="M4" s="10">
        <v>2766</v>
      </c>
      <c r="N4" s="10" t="s">
        <v>41</v>
      </c>
      <c r="O4" s="13" t="s">
        <v>42</v>
      </c>
      <c r="P4" s="10" t="s">
        <v>43</v>
      </c>
      <c r="Q4" s="12">
        <v>46078</v>
      </c>
      <c r="R4" s="14">
        <v>46078</v>
      </c>
      <c r="S4" s="12">
        <v>46078</v>
      </c>
      <c r="T4" s="14">
        <v>46078</v>
      </c>
      <c r="U4" s="10" t="s">
        <v>44</v>
      </c>
      <c r="V4" s="10"/>
      <c r="W4" s="11" t="s">
        <v>41</v>
      </c>
      <c r="X4" s="2">
        <v>772</v>
      </c>
      <c r="Y4" s="12">
        <v>46111</v>
      </c>
      <c r="Z4" s="14">
        <v>46111</v>
      </c>
      <c r="AA4" s="12">
        <v>46122</v>
      </c>
      <c r="AB4" s="14">
        <v>46122</v>
      </c>
      <c r="AC4" s="2">
        <v>770</v>
      </c>
      <c r="AD4" s="12">
        <v>46133</v>
      </c>
      <c r="AE4" s="10"/>
      <c r="AF4" s="10" t="s">
        <v>42</v>
      </c>
      <c r="AG4" s="10"/>
      <c r="AH4" s="10"/>
      <c r="AI4" s="2"/>
      <c r="AJ4" s="2">
        <f t="shared" ref="AJ4:AJ67" si="0">AI4-L4</f>
        <v>-745</v>
      </c>
      <c r="AK4" s="10" t="s">
        <v>194</v>
      </c>
    </row>
    <row r="5" spans="1:37" ht="30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2">
        <v>636</v>
      </c>
      <c r="L5" s="2">
        <v>563</v>
      </c>
      <c r="M5" s="10"/>
      <c r="N5" s="10"/>
      <c r="O5" s="13"/>
      <c r="P5" s="10"/>
      <c r="Q5" s="10"/>
      <c r="R5" s="11"/>
      <c r="S5" s="10"/>
      <c r="T5" s="11"/>
      <c r="U5" s="10"/>
      <c r="V5" s="10"/>
      <c r="W5" s="11"/>
      <c r="X5" s="2">
        <v>594</v>
      </c>
      <c r="Y5" s="10"/>
      <c r="Z5" s="11"/>
      <c r="AA5" s="10"/>
      <c r="AB5" s="11"/>
      <c r="AC5" s="2">
        <v>589</v>
      </c>
      <c r="AD5" s="10"/>
      <c r="AE5" s="10"/>
      <c r="AF5" s="10"/>
      <c r="AG5" s="10"/>
      <c r="AH5" s="10"/>
      <c r="AI5" s="2"/>
      <c r="AJ5" s="2">
        <f t="shared" si="0"/>
        <v>-563</v>
      </c>
      <c r="AK5" s="10"/>
    </row>
    <row r="6" spans="1:37" ht="30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2" t="s">
        <v>45</v>
      </c>
      <c r="L6" s="2">
        <v>745</v>
      </c>
      <c r="M6" s="10"/>
      <c r="N6" s="10"/>
      <c r="O6" s="13"/>
      <c r="P6" s="10"/>
      <c r="Q6" s="10"/>
      <c r="R6" s="11"/>
      <c r="S6" s="10"/>
      <c r="T6" s="11"/>
      <c r="U6" s="10"/>
      <c r="V6" s="10"/>
      <c r="W6" s="11"/>
      <c r="X6" s="2">
        <v>770</v>
      </c>
      <c r="Y6" s="10"/>
      <c r="Z6" s="11"/>
      <c r="AA6" s="10"/>
      <c r="AB6" s="11"/>
      <c r="AC6" s="2">
        <v>766</v>
      </c>
      <c r="AD6" s="10"/>
      <c r="AE6" s="10"/>
      <c r="AF6" s="10"/>
      <c r="AG6" s="10"/>
      <c r="AH6" s="10"/>
      <c r="AI6" s="2"/>
      <c r="AJ6" s="2">
        <f t="shared" si="0"/>
        <v>-745</v>
      </c>
      <c r="AK6" s="10"/>
    </row>
    <row r="7" spans="1:37" ht="30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2">
        <v>4300</v>
      </c>
      <c r="L7" s="2">
        <v>713</v>
      </c>
      <c r="M7" s="10"/>
      <c r="N7" s="10"/>
      <c r="O7" s="13"/>
      <c r="P7" s="10"/>
      <c r="Q7" s="10"/>
      <c r="R7" s="11"/>
      <c r="S7" s="10"/>
      <c r="T7" s="11"/>
      <c r="U7" s="10"/>
      <c r="V7" s="10"/>
      <c r="W7" s="11"/>
      <c r="X7" s="2">
        <v>748</v>
      </c>
      <c r="Y7" s="10"/>
      <c r="Z7" s="11"/>
      <c r="AA7" s="10"/>
      <c r="AB7" s="11"/>
      <c r="AC7" s="2">
        <v>745</v>
      </c>
      <c r="AD7" s="10"/>
      <c r="AE7" s="10"/>
      <c r="AF7" s="10"/>
      <c r="AG7" s="10"/>
      <c r="AH7" s="10"/>
      <c r="AI7" s="2"/>
      <c r="AJ7" s="2">
        <f t="shared" si="0"/>
        <v>-713</v>
      </c>
      <c r="AK7" s="10"/>
    </row>
    <row r="8" spans="1:37" ht="40.049999999999997" customHeight="1" x14ac:dyDescent="0.3">
      <c r="A8" s="10">
        <v>2</v>
      </c>
      <c r="B8" s="10" t="s">
        <v>34</v>
      </c>
      <c r="C8" s="10" t="s">
        <v>46</v>
      </c>
      <c r="D8" s="10" t="s">
        <v>36</v>
      </c>
      <c r="E8" s="10" t="s">
        <v>47</v>
      </c>
      <c r="F8" s="10" t="e" vm="2">
        <v>#VALUE!</v>
      </c>
      <c r="G8" s="10" t="s">
        <v>38</v>
      </c>
      <c r="H8" s="10" t="s">
        <v>48</v>
      </c>
      <c r="I8" s="10" t="s">
        <v>40</v>
      </c>
      <c r="J8" s="10" t="s">
        <v>49</v>
      </c>
      <c r="K8" s="2" t="s">
        <v>45</v>
      </c>
      <c r="L8" s="2">
        <v>1710</v>
      </c>
      <c r="M8" s="10">
        <v>3502</v>
      </c>
      <c r="N8" s="10" t="s">
        <v>41</v>
      </c>
      <c r="O8" s="13" t="s">
        <v>42</v>
      </c>
      <c r="P8" s="10" t="s">
        <v>43</v>
      </c>
      <c r="Q8" s="12">
        <v>46070</v>
      </c>
      <c r="R8" s="14">
        <v>46070</v>
      </c>
      <c r="S8" s="12">
        <v>46052</v>
      </c>
      <c r="T8" s="14">
        <v>46052</v>
      </c>
      <c r="U8" s="10" t="s">
        <v>44</v>
      </c>
      <c r="V8" s="10"/>
      <c r="W8" s="11" t="s">
        <v>41</v>
      </c>
      <c r="X8" s="2">
        <v>1795</v>
      </c>
      <c r="Y8" s="12">
        <v>46090</v>
      </c>
      <c r="Z8" s="14">
        <v>46090</v>
      </c>
      <c r="AA8" s="12">
        <v>46099</v>
      </c>
      <c r="AB8" s="14">
        <v>46099</v>
      </c>
      <c r="AC8" s="2">
        <v>1790</v>
      </c>
      <c r="AD8" s="12">
        <v>46111</v>
      </c>
      <c r="AE8" s="14">
        <v>46111</v>
      </c>
      <c r="AF8" s="10" t="s">
        <v>42</v>
      </c>
      <c r="AG8" s="20">
        <v>46122</v>
      </c>
      <c r="AH8" s="10"/>
      <c r="AI8" s="2">
        <v>1760</v>
      </c>
      <c r="AJ8" s="2">
        <f t="shared" si="0"/>
        <v>50</v>
      </c>
      <c r="AK8" s="11" t="s">
        <v>196</v>
      </c>
    </row>
    <row r="9" spans="1:37" ht="40.049999999999997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2">
        <v>3824</v>
      </c>
      <c r="L9" s="2">
        <v>1024</v>
      </c>
      <c r="M9" s="10"/>
      <c r="N9" s="10"/>
      <c r="O9" s="13"/>
      <c r="P9" s="10"/>
      <c r="Q9" s="10"/>
      <c r="R9" s="11"/>
      <c r="S9" s="10"/>
      <c r="T9" s="11"/>
      <c r="U9" s="10"/>
      <c r="V9" s="10"/>
      <c r="W9" s="11"/>
      <c r="X9" s="2">
        <v>1076</v>
      </c>
      <c r="Y9" s="10"/>
      <c r="Z9" s="11"/>
      <c r="AA9" s="10"/>
      <c r="AB9" s="11"/>
      <c r="AC9" s="2">
        <v>1070</v>
      </c>
      <c r="AD9" s="10"/>
      <c r="AE9" s="11"/>
      <c r="AF9" s="10"/>
      <c r="AG9" s="11"/>
      <c r="AH9" s="10"/>
      <c r="AI9" s="2">
        <v>1057</v>
      </c>
      <c r="AJ9" s="2">
        <f t="shared" si="0"/>
        <v>33</v>
      </c>
      <c r="AK9" s="11"/>
    </row>
    <row r="10" spans="1:37" ht="40.049999999999997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2">
        <v>3187</v>
      </c>
      <c r="L10" s="2">
        <v>768</v>
      </c>
      <c r="M10" s="10"/>
      <c r="N10" s="10"/>
      <c r="O10" s="13"/>
      <c r="P10" s="10"/>
      <c r="Q10" s="10"/>
      <c r="R10" s="11"/>
      <c r="S10" s="10"/>
      <c r="T10" s="11"/>
      <c r="U10" s="10"/>
      <c r="V10" s="10"/>
      <c r="W10" s="11"/>
      <c r="X10" s="2">
        <v>810</v>
      </c>
      <c r="Y10" s="10"/>
      <c r="Z10" s="11"/>
      <c r="AA10" s="10"/>
      <c r="AB10" s="11"/>
      <c r="AC10" s="2">
        <v>810</v>
      </c>
      <c r="AD10" s="10"/>
      <c r="AE10" s="11"/>
      <c r="AF10" s="10"/>
      <c r="AG10" s="11"/>
      <c r="AH10" s="10"/>
      <c r="AI10" s="2">
        <v>814</v>
      </c>
      <c r="AJ10" s="2">
        <f t="shared" si="0"/>
        <v>46</v>
      </c>
      <c r="AK10" s="11"/>
    </row>
    <row r="11" spans="1:37" ht="60" customHeight="1" x14ac:dyDescent="0.3">
      <c r="A11" s="10">
        <v>3</v>
      </c>
      <c r="B11" s="10" t="s">
        <v>34</v>
      </c>
      <c r="C11" s="10" t="s">
        <v>46</v>
      </c>
      <c r="D11" s="10" t="s">
        <v>36</v>
      </c>
      <c r="E11" s="10" t="s">
        <v>50</v>
      </c>
      <c r="F11" s="10" t="e" vm="3">
        <v>#VALUE!</v>
      </c>
      <c r="G11" s="10" t="s">
        <v>38</v>
      </c>
      <c r="H11" s="10" t="s">
        <v>51</v>
      </c>
      <c r="I11" s="10" t="s">
        <v>40</v>
      </c>
      <c r="J11" s="10" t="s">
        <v>52</v>
      </c>
      <c r="K11" s="2" t="s">
        <v>53</v>
      </c>
      <c r="L11" s="2">
        <v>1260</v>
      </c>
      <c r="M11" s="10">
        <v>2255</v>
      </c>
      <c r="N11" s="10" t="s">
        <v>41</v>
      </c>
      <c r="O11" s="13" t="s">
        <v>42</v>
      </c>
      <c r="P11" s="10" t="s">
        <v>43</v>
      </c>
      <c r="Q11" s="12">
        <v>46070</v>
      </c>
      <c r="R11" s="14">
        <v>46070</v>
      </c>
      <c r="S11" s="12">
        <v>46066</v>
      </c>
      <c r="T11" s="14">
        <v>46066</v>
      </c>
      <c r="U11" s="10" t="s">
        <v>44</v>
      </c>
      <c r="V11" s="10"/>
      <c r="W11" s="11" t="s">
        <v>41</v>
      </c>
      <c r="X11" s="2">
        <v>1312</v>
      </c>
      <c r="Y11" s="12">
        <v>46118</v>
      </c>
      <c r="Z11" s="14">
        <v>46118</v>
      </c>
      <c r="AA11" s="12">
        <v>46129</v>
      </c>
      <c r="AB11" s="14">
        <v>46129</v>
      </c>
      <c r="AC11" s="2">
        <v>1303</v>
      </c>
      <c r="AD11" s="12">
        <v>46132</v>
      </c>
      <c r="AE11" s="10"/>
      <c r="AF11" s="10" t="s">
        <v>42</v>
      </c>
      <c r="AG11" s="10"/>
      <c r="AH11" s="10"/>
      <c r="AI11" s="2"/>
      <c r="AJ11" s="2">
        <f t="shared" si="0"/>
        <v>-1260</v>
      </c>
      <c r="AK11" s="10" t="s">
        <v>194</v>
      </c>
    </row>
    <row r="12" spans="1:37" ht="60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2" t="s">
        <v>54</v>
      </c>
      <c r="L12" s="2">
        <v>995</v>
      </c>
      <c r="M12" s="10"/>
      <c r="N12" s="10"/>
      <c r="O12" s="13"/>
      <c r="P12" s="10"/>
      <c r="Q12" s="10"/>
      <c r="R12" s="11"/>
      <c r="S12" s="10"/>
      <c r="T12" s="11"/>
      <c r="U12" s="10"/>
      <c r="V12" s="10"/>
      <c r="W12" s="11"/>
      <c r="X12" s="2">
        <v>1048</v>
      </c>
      <c r="Y12" s="10"/>
      <c r="Z12" s="11"/>
      <c r="AA12" s="10"/>
      <c r="AB12" s="11"/>
      <c r="AC12" s="2">
        <v>880</v>
      </c>
      <c r="AD12" s="10"/>
      <c r="AE12" s="10"/>
      <c r="AF12" s="10"/>
      <c r="AG12" s="10"/>
      <c r="AH12" s="10"/>
      <c r="AI12" s="2"/>
      <c r="AJ12" s="2">
        <f t="shared" si="0"/>
        <v>-995</v>
      </c>
      <c r="AK12" s="10"/>
    </row>
    <row r="13" spans="1:37" ht="40.049999999999997" customHeight="1" x14ac:dyDescent="0.3">
      <c r="A13" s="10">
        <v>4</v>
      </c>
      <c r="B13" s="10" t="s">
        <v>34</v>
      </c>
      <c r="C13" s="10" t="s">
        <v>46</v>
      </c>
      <c r="D13" s="10" t="s">
        <v>36</v>
      </c>
      <c r="E13" s="10" t="s">
        <v>55</v>
      </c>
      <c r="F13" s="10" t="e" vm="4">
        <v>#VALUE!</v>
      </c>
      <c r="G13" s="10" t="s">
        <v>56</v>
      </c>
      <c r="H13" s="10" t="s">
        <v>57</v>
      </c>
      <c r="I13" s="10" t="s">
        <v>58</v>
      </c>
      <c r="J13" s="10" t="s">
        <v>59</v>
      </c>
      <c r="K13" s="2">
        <v>4300</v>
      </c>
      <c r="L13" s="2">
        <v>1250</v>
      </c>
      <c r="M13" s="10">
        <v>2900</v>
      </c>
      <c r="N13" s="10" t="s">
        <v>41</v>
      </c>
      <c r="O13" s="13" t="s">
        <v>42</v>
      </c>
      <c r="P13" s="10" t="s">
        <v>43</v>
      </c>
      <c r="Q13" s="12">
        <v>46070</v>
      </c>
      <c r="R13" s="14">
        <v>46070</v>
      </c>
      <c r="S13" s="12">
        <v>46066</v>
      </c>
      <c r="T13" s="14">
        <v>46066</v>
      </c>
      <c r="U13" s="10" t="s">
        <v>44</v>
      </c>
      <c r="V13" s="10"/>
      <c r="W13" s="11" t="s">
        <v>41</v>
      </c>
      <c r="X13" s="2">
        <v>1312</v>
      </c>
      <c r="Y13" s="12">
        <v>46101</v>
      </c>
      <c r="Z13" s="14">
        <v>46101</v>
      </c>
      <c r="AA13" s="12">
        <v>46108</v>
      </c>
      <c r="AB13" s="14">
        <v>46108</v>
      </c>
      <c r="AC13" s="2">
        <v>1310</v>
      </c>
      <c r="AD13" s="12">
        <v>46118</v>
      </c>
      <c r="AE13" s="14">
        <v>46118</v>
      </c>
      <c r="AF13" s="10" t="s">
        <v>42</v>
      </c>
      <c r="AG13" s="20">
        <v>46122</v>
      </c>
      <c r="AH13" s="10"/>
      <c r="AI13" s="2">
        <v>1317</v>
      </c>
      <c r="AJ13" s="2">
        <f t="shared" si="0"/>
        <v>67</v>
      </c>
      <c r="AK13" s="11" t="s">
        <v>196</v>
      </c>
    </row>
    <row r="14" spans="1:37" ht="40.049999999999997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2">
        <v>5561</v>
      </c>
      <c r="L14" s="2">
        <v>600</v>
      </c>
      <c r="M14" s="10"/>
      <c r="N14" s="10"/>
      <c r="O14" s="13"/>
      <c r="P14" s="10"/>
      <c r="Q14" s="10"/>
      <c r="R14" s="11"/>
      <c r="S14" s="10"/>
      <c r="T14" s="11"/>
      <c r="U14" s="10"/>
      <c r="V14" s="10"/>
      <c r="W14" s="11"/>
      <c r="X14" s="2">
        <v>636</v>
      </c>
      <c r="Y14" s="10"/>
      <c r="Z14" s="11"/>
      <c r="AA14" s="10"/>
      <c r="AB14" s="11"/>
      <c r="AC14" s="2">
        <v>630</v>
      </c>
      <c r="AD14" s="10"/>
      <c r="AE14" s="11"/>
      <c r="AF14" s="10"/>
      <c r="AG14" s="11"/>
      <c r="AH14" s="10"/>
      <c r="AI14" s="2">
        <v>625</v>
      </c>
      <c r="AJ14" s="2">
        <f t="shared" si="0"/>
        <v>25</v>
      </c>
      <c r="AK14" s="11"/>
    </row>
    <row r="15" spans="1:37" ht="40.049999999999997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2">
        <v>8196</v>
      </c>
      <c r="L15" s="2">
        <v>1050</v>
      </c>
      <c r="M15" s="10"/>
      <c r="N15" s="10"/>
      <c r="O15" s="13"/>
      <c r="P15" s="10"/>
      <c r="Q15" s="10"/>
      <c r="R15" s="11"/>
      <c r="S15" s="10"/>
      <c r="T15" s="11"/>
      <c r="U15" s="10"/>
      <c r="V15" s="10"/>
      <c r="W15" s="11"/>
      <c r="X15" s="2">
        <v>1102</v>
      </c>
      <c r="Y15" s="10"/>
      <c r="Z15" s="11"/>
      <c r="AA15" s="10"/>
      <c r="AB15" s="11"/>
      <c r="AC15" s="2">
        <v>1100</v>
      </c>
      <c r="AD15" s="10"/>
      <c r="AE15" s="11"/>
      <c r="AF15" s="10"/>
      <c r="AG15" s="11"/>
      <c r="AH15" s="10"/>
      <c r="AI15" s="2">
        <v>1090</v>
      </c>
      <c r="AJ15" s="2">
        <f t="shared" si="0"/>
        <v>40</v>
      </c>
      <c r="AK15" s="11"/>
    </row>
    <row r="16" spans="1:37" ht="30" customHeight="1" x14ac:dyDescent="0.3">
      <c r="A16" s="10">
        <v>5</v>
      </c>
      <c r="B16" s="10" t="s">
        <v>34</v>
      </c>
      <c r="C16" s="10" t="s">
        <v>46</v>
      </c>
      <c r="D16" s="10" t="s">
        <v>36</v>
      </c>
      <c r="E16" s="10" t="s">
        <v>60</v>
      </c>
      <c r="F16" s="10" t="e" vm="5">
        <v>#VALUE!</v>
      </c>
      <c r="G16" s="10" t="s">
        <v>38</v>
      </c>
      <c r="H16" s="10" t="s">
        <v>61</v>
      </c>
      <c r="I16" s="10" t="s">
        <v>62</v>
      </c>
      <c r="J16" s="10" t="s">
        <v>63</v>
      </c>
      <c r="K16" s="2">
        <v>1543</v>
      </c>
      <c r="L16" s="2">
        <v>1950</v>
      </c>
      <c r="M16" s="10">
        <v>8260</v>
      </c>
      <c r="N16" s="10" t="s">
        <v>41</v>
      </c>
      <c r="O16" s="13" t="s">
        <v>42</v>
      </c>
      <c r="P16" s="10" t="s">
        <v>43</v>
      </c>
      <c r="Q16" s="12">
        <v>46070</v>
      </c>
      <c r="R16" s="14">
        <v>46070</v>
      </c>
      <c r="S16" s="12">
        <v>46063</v>
      </c>
      <c r="T16" s="14">
        <v>46063</v>
      </c>
      <c r="U16" s="10" t="s">
        <v>44</v>
      </c>
      <c r="V16" s="10"/>
      <c r="W16" s="11" t="s">
        <v>41</v>
      </c>
      <c r="X16" s="2">
        <v>2020</v>
      </c>
      <c r="Y16" s="12">
        <v>46088</v>
      </c>
      <c r="Z16" s="14">
        <v>46088</v>
      </c>
      <c r="AA16" s="12">
        <v>46105</v>
      </c>
      <c r="AB16" s="14">
        <v>46105</v>
      </c>
      <c r="AC16" s="2">
        <v>2016</v>
      </c>
      <c r="AD16" s="12">
        <v>46088</v>
      </c>
      <c r="AE16" s="14">
        <v>46088</v>
      </c>
      <c r="AF16" s="10" t="s">
        <v>42</v>
      </c>
      <c r="AG16" s="20">
        <v>46122</v>
      </c>
      <c r="AH16" s="10"/>
      <c r="AI16" s="2">
        <v>2070</v>
      </c>
      <c r="AJ16" s="2">
        <f t="shared" si="0"/>
        <v>120</v>
      </c>
      <c r="AK16" s="11" t="s">
        <v>196</v>
      </c>
    </row>
    <row r="17" spans="1:37" ht="30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2">
        <v>1837</v>
      </c>
      <c r="L17" s="2">
        <v>2210</v>
      </c>
      <c r="M17" s="10"/>
      <c r="N17" s="10"/>
      <c r="O17" s="13"/>
      <c r="P17" s="10"/>
      <c r="Q17" s="10"/>
      <c r="R17" s="11"/>
      <c r="S17" s="10"/>
      <c r="T17" s="11"/>
      <c r="U17" s="10"/>
      <c r="V17" s="10"/>
      <c r="W17" s="11"/>
      <c r="X17" s="2">
        <v>2292</v>
      </c>
      <c r="Y17" s="10"/>
      <c r="Z17" s="11"/>
      <c r="AA17" s="10"/>
      <c r="AB17" s="11"/>
      <c r="AC17" s="2">
        <v>2280</v>
      </c>
      <c r="AD17" s="10"/>
      <c r="AE17" s="11"/>
      <c r="AF17" s="10"/>
      <c r="AG17" s="11"/>
      <c r="AH17" s="10"/>
      <c r="AI17" s="2">
        <v>2336</v>
      </c>
      <c r="AJ17" s="2">
        <f t="shared" si="0"/>
        <v>126</v>
      </c>
      <c r="AK17" s="11"/>
    </row>
    <row r="18" spans="1:37" ht="30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2">
        <v>5138</v>
      </c>
      <c r="L18" s="2">
        <v>2350</v>
      </c>
      <c r="M18" s="10"/>
      <c r="N18" s="10"/>
      <c r="O18" s="13"/>
      <c r="P18" s="10"/>
      <c r="Q18" s="10"/>
      <c r="R18" s="11"/>
      <c r="S18" s="10"/>
      <c r="T18" s="11"/>
      <c r="U18" s="10"/>
      <c r="V18" s="10"/>
      <c r="W18" s="11"/>
      <c r="X18" s="2">
        <v>2460</v>
      </c>
      <c r="Y18" s="10"/>
      <c r="Z18" s="11"/>
      <c r="AA18" s="10"/>
      <c r="AB18" s="11"/>
      <c r="AC18" s="2">
        <v>2448</v>
      </c>
      <c r="AD18" s="10"/>
      <c r="AE18" s="11"/>
      <c r="AF18" s="10"/>
      <c r="AG18" s="11"/>
      <c r="AH18" s="10"/>
      <c r="AI18" s="2">
        <v>2487</v>
      </c>
      <c r="AJ18" s="2">
        <f t="shared" si="0"/>
        <v>137</v>
      </c>
      <c r="AK18" s="11"/>
    </row>
    <row r="19" spans="1:37" ht="30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2">
        <v>7027</v>
      </c>
      <c r="L19" s="2">
        <v>1750</v>
      </c>
      <c r="M19" s="10"/>
      <c r="N19" s="10"/>
      <c r="O19" s="13"/>
      <c r="P19" s="10"/>
      <c r="Q19" s="10"/>
      <c r="R19" s="11"/>
      <c r="S19" s="10"/>
      <c r="T19" s="11"/>
      <c r="U19" s="10"/>
      <c r="V19" s="10"/>
      <c r="W19" s="11"/>
      <c r="X19" s="2">
        <v>1824</v>
      </c>
      <c r="Y19" s="10"/>
      <c r="Z19" s="11"/>
      <c r="AA19" s="10"/>
      <c r="AB19" s="11"/>
      <c r="AC19" s="2">
        <v>1817</v>
      </c>
      <c r="AD19" s="10"/>
      <c r="AE19" s="11"/>
      <c r="AF19" s="10"/>
      <c r="AG19" s="11"/>
      <c r="AH19" s="10"/>
      <c r="AI19" s="2">
        <v>1839</v>
      </c>
      <c r="AJ19" s="2">
        <f t="shared" si="0"/>
        <v>89</v>
      </c>
      <c r="AK19" s="11"/>
    </row>
    <row r="20" spans="1:37" ht="30" customHeight="1" x14ac:dyDescent="0.3">
      <c r="A20" s="10">
        <v>6</v>
      </c>
      <c r="B20" s="10" t="s">
        <v>34</v>
      </c>
      <c r="C20" s="10" t="s">
        <v>46</v>
      </c>
      <c r="D20" s="10" t="s">
        <v>36</v>
      </c>
      <c r="E20" s="10" t="s">
        <v>67</v>
      </c>
      <c r="F20" s="10" t="e" vm="6">
        <v>#VALUE!</v>
      </c>
      <c r="G20" s="10" t="s">
        <v>38</v>
      </c>
      <c r="H20" s="10" t="s">
        <v>61</v>
      </c>
      <c r="I20" s="10" t="s">
        <v>62</v>
      </c>
      <c r="J20" s="10" t="s">
        <v>68</v>
      </c>
      <c r="K20" s="2" t="s">
        <v>64</v>
      </c>
      <c r="L20" s="2">
        <v>210</v>
      </c>
      <c r="M20" s="10">
        <v>2761</v>
      </c>
      <c r="N20" s="10" t="s">
        <v>41</v>
      </c>
      <c r="O20" s="13" t="s">
        <v>42</v>
      </c>
      <c r="P20" s="10" t="s">
        <v>43</v>
      </c>
      <c r="Q20" s="12">
        <v>46070</v>
      </c>
      <c r="R20" s="14">
        <v>46070</v>
      </c>
      <c r="S20" s="12">
        <v>46063</v>
      </c>
      <c r="T20" s="14">
        <v>46063</v>
      </c>
      <c r="U20" s="10" t="s">
        <v>44</v>
      </c>
      <c r="V20" s="10"/>
      <c r="W20" s="11" t="s">
        <v>41</v>
      </c>
      <c r="X20" s="2">
        <v>232</v>
      </c>
      <c r="Y20" s="12">
        <v>46091</v>
      </c>
      <c r="Z20" s="14">
        <v>46091</v>
      </c>
      <c r="AA20" s="12">
        <v>46099</v>
      </c>
      <c r="AB20" s="14">
        <v>46099</v>
      </c>
      <c r="AC20" s="2">
        <v>232</v>
      </c>
      <c r="AD20" s="12">
        <v>46118</v>
      </c>
      <c r="AE20" s="14">
        <v>46118</v>
      </c>
      <c r="AF20" s="10" t="s">
        <v>42</v>
      </c>
      <c r="AG20" s="20">
        <v>46122</v>
      </c>
      <c r="AH20" s="10"/>
      <c r="AI20" s="2">
        <v>224</v>
      </c>
      <c r="AJ20" s="2">
        <f t="shared" si="0"/>
        <v>14</v>
      </c>
      <c r="AK20" s="11" t="s">
        <v>196</v>
      </c>
    </row>
    <row r="21" spans="1:37" ht="30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2" t="s">
        <v>69</v>
      </c>
      <c r="L21" s="2">
        <v>885</v>
      </c>
      <c r="M21" s="10"/>
      <c r="N21" s="10"/>
      <c r="O21" s="13"/>
      <c r="P21" s="10"/>
      <c r="Q21" s="10"/>
      <c r="R21" s="11"/>
      <c r="S21" s="10"/>
      <c r="T21" s="11"/>
      <c r="U21" s="10"/>
      <c r="V21" s="10"/>
      <c r="W21" s="11"/>
      <c r="X21" s="2">
        <v>946</v>
      </c>
      <c r="Y21" s="10"/>
      <c r="Z21" s="11"/>
      <c r="AA21" s="10"/>
      <c r="AB21" s="11"/>
      <c r="AC21" s="2">
        <v>943</v>
      </c>
      <c r="AD21" s="10"/>
      <c r="AE21" s="11"/>
      <c r="AF21" s="10"/>
      <c r="AG21" s="11"/>
      <c r="AH21" s="10"/>
      <c r="AI21" s="2">
        <v>941</v>
      </c>
      <c r="AJ21" s="2">
        <f t="shared" si="0"/>
        <v>56</v>
      </c>
      <c r="AK21" s="11"/>
    </row>
    <row r="22" spans="1:37" ht="30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2" t="s">
        <v>65</v>
      </c>
      <c r="L22" s="2">
        <v>753</v>
      </c>
      <c r="M22" s="10"/>
      <c r="N22" s="10"/>
      <c r="O22" s="13"/>
      <c r="P22" s="10"/>
      <c r="Q22" s="10"/>
      <c r="R22" s="11"/>
      <c r="S22" s="10"/>
      <c r="T22" s="11"/>
      <c r="U22" s="10"/>
      <c r="V22" s="10"/>
      <c r="W22" s="11"/>
      <c r="X22" s="2">
        <v>804</v>
      </c>
      <c r="Y22" s="10"/>
      <c r="Z22" s="11"/>
      <c r="AA22" s="10"/>
      <c r="AB22" s="11"/>
      <c r="AC22" s="2">
        <v>803</v>
      </c>
      <c r="AD22" s="10"/>
      <c r="AE22" s="11"/>
      <c r="AF22" s="10"/>
      <c r="AG22" s="11"/>
      <c r="AH22" s="10"/>
      <c r="AI22" s="2">
        <v>797</v>
      </c>
      <c r="AJ22" s="2">
        <f t="shared" si="0"/>
        <v>44</v>
      </c>
      <c r="AK22" s="11"/>
    </row>
    <row r="23" spans="1:37" ht="30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2" t="s">
        <v>66</v>
      </c>
      <c r="L23" s="2">
        <v>913</v>
      </c>
      <c r="M23" s="10"/>
      <c r="N23" s="10"/>
      <c r="O23" s="13"/>
      <c r="P23" s="10"/>
      <c r="Q23" s="10"/>
      <c r="R23" s="11"/>
      <c r="S23" s="10"/>
      <c r="T23" s="11"/>
      <c r="U23" s="10"/>
      <c r="V23" s="10"/>
      <c r="W23" s="11"/>
      <c r="X23" s="2">
        <v>950</v>
      </c>
      <c r="Y23" s="10"/>
      <c r="Z23" s="11"/>
      <c r="AA23" s="10"/>
      <c r="AB23" s="11"/>
      <c r="AC23" s="2">
        <v>949</v>
      </c>
      <c r="AD23" s="10"/>
      <c r="AE23" s="11"/>
      <c r="AF23" s="10"/>
      <c r="AG23" s="11"/>
      <c r="AH23" s="10"/>
      <c r="AI23" s="2">
        <v>949</v>
      </c>
      <c r="AJ23" s="2">
        <f t="shared" si="0"/>
        <v>36</v>
      </c>
      <c r="AK23" s="11"/>
    </row>
    <row r="24" spans="1:37" ht="60" customHeight="1" x14ac:dyDescent="0.3">
      <c r="A24" s="10">
        <v>7</v>
      </c>
      <c r="B24" s="10" t="s">
        <v>34</v>
      </c>
      <c r="C24" s="10" t="s">
        <v>46</v>
      </c>
      <c r="D24" s="10" t="s">
        <v>72</v>
      </c>
      <c r="E24" s="10" t="s">
        <v>119</v>
      </c>
      <c r="F24" s="10" t="e" vm="7">
        <v>#VALUE!</v>
      </c>
      <c r="G24" s="10" t="s">
        <v>120</v>
      </c>
      <c r="H24" s="10" t="s">
        <v>121</v>
      </c>
      <c r="I24" s="10" t="s">
        <v>115</v>
      </c>
      <c r="J24" s="10" t="s">
        <v>122</v>
      </c>
      <c r="K24" s="2" t="s">
        <v>109</v>
      </c>
      <c r="L24" s="2">
        <v>376</v>
      </c>
      <c r="M24" s="10">
        <v>972</v>
      </c>
      <c r="N24" s="10" t="s">
        <v>76</v>
      </c>
      <c r="O24" s="13" t="s">
        <v>123</v>
      </c>
      <c r="P24" s="10" t="s">
        <v>102</v>
      </c>
      <c r="Q24" s="12">
        <v>46101</v>
      </c>
      <c r="R24" s="14">
        <v>46101</v>
      </c>
      <c r="S24" s="12">
        <v>46093</v>
      </c>
      <c r="T24" s="4">
        <v>46090</v>
      </c>
      <c r="U24" s="10" t="s">
        <v>124</v>
      </c>
      <c r="V24" s="10"/>
      <c r="W24" s="11" t="s">
        <v>76</v>
      </c>
      <c r="X24" s="2">
        <v>396</v>
      </c>
      <c r="Y24" s="12">
        <v>46114</v>
      </c>
      <c r="Z24" s="14">
        <v>46114</v>
      </c>
      <c r="AA24" s="12">
        <v>46116</v>
      </c>
      <c r="AB24" s="14">
        <v>46116</v>
      </c>
      <c r="AC24" s="2">
        <v>396</v>
      </c>
      <c r="AD24" s="12">
        <v>46120</v>
      </c>
      <c r="AE24" s="14">
        <v>46120</v>
      </c>
      <c r="AF24" s="10" t="s">
        <v>123</v>
      </c>
      <c r="AG24" s="20">
        <v>46125</v>
      </c>
      <c r="AH24" s="10"/>
      <c r="AI24" s="2">
        <v>406</v>
      </c>
      <c r="AJ24" s="2">
        <f t="shared" si="0"/>
        <v>30</v>
      </c>
      <c r="AK24" s="11" t="s">
        <v>196</v>
      </c>
    </row>
    <row r="25" spans="1:37" ht="60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2" t="s">
        <v>88</v>
      </c>
      <c r="L25" s="2">
        <v>596</v>
      </c>
      <c r="M25" s="10"/>
      <c r="N25" s="10"/>
      <c r="O25" s="13"/>
      <c r="P25" s="10"/>
      <c r="Q25" s="10"/>
      <c r="R25" s="11"/>
      <c r="S25" s="10"/>
      <c r="T25" s="5">
        <v>46093</v>
      </c>
      <c r="U25" s="10"/>
      <c r="V25" s="10"/>
      <c r="W25" s="11"/>
      <c r="X25" s="2">
        <v>630</v>
      </c>
      <c r="Y25" s="10"/>
      <c r="Z25" s="11"/>
      <c r="AA25" s="10"/>
      <c r="AB25" s="11"/>
      <c r="AC25" s="2">
        <v>626</v>
      </c>
      <c r="AD25" s="10"/>
      <c r="AE25" s="11"/>
      <c r="AF25" s="10"/>
      <c r="AG25" s="11"/>
      <c r="AH25" s="10"/>
      <c r="AI25" s="2">
        <v>624</v>
      </c>
      <c r="AJ25" s="2">
        <f t="shared" si="0"/>
        <v>28</v>
      </c>
      <c r="AK25" s="11"/>
    </row>
    <row r="26" spans="1:37" ht="40.049999999999997" customHeight="1" x14ac:dyDescent="0.3">
      <c r="A26" s="10">
        <v>8</v>
      </c>
      <c r="B26" s="10" t="s">
        <v>34</v>
      </c>
      <c r="C26" s="10" t="s">
        <v>46</v>
      </c>
      <c r="D26" s="10" t="s">
        <v>72</v>
      </c>
      <c r="E26" s="10" t="s">
        <v>98</v>
      </c>
      <c r="F26" s="10" t="e" vm="8">
        <v>#VALUE!</v>
      </c>
      <c r="G26" s="10" t="s">
        <v>38</v>
      </c>
      <c r="H26" s="10" t="s">
        <v>99</v>
      </c>
      <c r="I26" s="10" t="s">
        <v>100</v>
      </c>
      <c r="J26" s="10" t="s">
        <v>101</v>
      </c>
      <c r="K26" s="2" t="s">
        <v>86</v>
      </c>
      <c r="L26" s="2">
        <v>1412</v>
      </c>
      <c r="M26" s="10">
        <v>3549</v>
      </c>
      <c r="N26" s="10" t="s">
        <v>76</v>
      </c>
      <c r="O26" s="13" t="s">
        <v>42</v>
      </c>
      <c r="P26" s="10" t="s">
        <v>102</v>
      </c>
      <c r="Q26" s="12">
        <v>46101</v>
      </c>
      <c r="R26" s="14">
        <v>46101</v>
      </c>
      <c r="S26" s="12">
        <v>46109</v>
      </c>
      <c r="T26" s="14">
        <v>46109</v>
      </c>
      <c r="U26" s="10" t="s">
        <v>103</v>
      </c>
      <c r="V26" s="10"/>
      <c r="W26" s="11" t="s">
        <v>76</v>
      </c>
      <c r="X26" s="2"/>
      <c r="Y26" s="12">
        <v>46133</v>
      </c>
      <c r="Z26" s="10"/>
      <c r="AA26" s="12">
        <v>46140</v>
      </c>
      <c r="AB26" s="10"/>
      <c r="AC26" s="2"/>
      <c r="AD26" s="12">
        <v>46147</v>
      </c>
      <c r="AE26" s="10"/>
      <c r="AF26" s="10" t="s">
        <v>42</v>
      </c>
      <c r="AG26" s="10"/>
      <c r="AH26" s="10"/>
      <c r="AI26" s="2"/>
      <c r="AJ26" s="2">
        <f t="shared" si="0"/>
        <v>-1412</v>
      </c>
      <c r="AK26" s="10" t="s">
        <v>197</v>
      </c>
    </row>
    <row r="27" spans="1:37" ht="40.049999999999997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2" t="s">
        <v>88</v>
      </c>
      <c r="L27" s="2">
        <v>1890</v>
      </c>
      <c r="M27" s="10"/>
      <c r="N27" s="10"/>
      <c r="O27" s="13"/>
      <c r="P27" s="10"/>
      <c r="Q27" s="10"/>
      <c r="R27" s="11"/>
      <c r="S27" s="10"/>
      <c r="T27" s="11"/>
      <c r="U27" s="10"/>
      <c r="V27" s="10"/>
      <c r="W27" s="11"/>
      <c r="X27" s="2"/>
      <c r="Y27" s="10"/>
      <c r="Z27" s="10"/>
      <c r="AA27" s="10"/>
      <c r="AB27" s="10"/>
      <c r="AC27" s="2"/>
      <c r="AD27" s="10"/>
      <c r="AE27" s="10"/>
      <c r="AF27" s="10"/>
      <c r="AG27" s="10"/>
      <c r="AH27" s="10"/>
      <c r="AI27" s="2"/>
      <c r="AJ27" s="2">
        <f t="shared" si="0"/>
        <v>-1890</v>
      </c>
      <c r="AK27" s="10"/>
    </row>
    <row r="28" spans="1:37" ht="40.049999999999997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2" t="s">
        <v>105</v>
      </c>
      <c r="L28" s="2">
        <v>247</v>
      </c>
      <c r="M28" s="10"/>
      <c r="N28" s="10"/>
      <c r="O28" s="13"/>
      <c r="P28" s="10"/>
      <c r="Q28" s="10"/>
      <c r="R28" s="11"/>
      <c r="S28" s="10"/>
      <c r="T28" s="11"/>
      <c r="U28" s="10"/>
      <c r="V28" s="10"/>
      <c r="W28" s="11"/>
      <c r="X28" s="2"/>
      <c r="Y28" s="10"/>
      <c r="Z28" s="10"/>
      <c r="AA28" s="10"/>
      <c r="AB28" s="10"/>
      <c r="AC28" s="2"/>
      <c r="AD28" s="10"/>
      <c r="AE28" s="10"/>
      <c r="AF28" s="10"/>
      <c r="AG28" s="10"/>
      <c r="AH28" s="10"/>
      <c r="AI28" s="2"/>
      <c r="AJ28" s="2">
        <f t="shared" si="0"/>
        <v>-247</v>
      </c>
      <c r="AK28" s="10"/>
    </row>
    <row r="29" spans="1:37" ht="40.049999999999997" customHeight="1" x14ac:dyDescent="0.3">
      <c r="A29" s="10">
        <v>9</v>
      </c>
      <c r="B29" s="10" t="s">
        <v>34</v>
      </c>
      <c r="C29" s="10" t="s">
        <v>46</v>
      </c>
      <c r="D29" s="10" t="s">
        <v>72</v>
      </c>
      <c r="E29" s="10" t="s">
        <v>112</v>
      </c>
      <c r="F29" s="10" t="e" vm="9">
        <v>#VALUE!</v>
      </c>
      <c r="G29" s="10" t="s">
        <v>38</v>
      </c>
      <c r="H29" s="10" t="s">
        <v>99</v>
      </c>
      <c r="I29" s="10" t="s">
        <v>100</v>
      </c>
      <c r="J29" s="10" t="s">
        <v>113</v>
      </c>
      <c r="K29" s="2" t="s">
        <v>86</v>
      </c>
      <c r="L29" s="2">
        <v>137</v>
      </c>
      <c r="M29" s="10">
        <v>1104</v>
      </c>
      <c r="N29" s="10" t="s">
        <v>76</v>
      </c>
      <c r="O29" s="13" t="s">
        <v>42</v>
      </c>
      <c r="P29" s="10" t="s">
        <v>102</v>
      </c>
      <c r="Q29" s="12">
        <v>46101</v>
      </c>
      <c r="R29" s="14">
        <v>46101</v>
      </c>
      <c r="S29" s="12">
        <v>46114</v>
      </c>
      <c r="T29" s="14">
        <v>46114</v>
      </c>
      <c r="U29" s="10" t="s">
        <v>103</v>
      </c>
      <c r="V29" s="10"/>
      <c r="W29" s="11" t="s">
        <v>76</v>
      </c>
      <c r="X29" s="2">
        <v>150</v>
      </c>
      <c r="Y29" s="12">
        <v>46129</v>
      </c>
      <c r="Z29" s="14">
        <v>46129</v>
      </c>
      <c r="AA29" s="12">
        <v>46133</v>
      </c>
      <c r="AB29" s="10"/>
      <c r="AC29" s="2"/>
      <c r="AD29" s="12">
        <v>46171</v>
      </c>
      <c r="AE29" s="10"/>
      <c r="AF29" s="10" t="s">
        <v>42</v>
      </c>
      <c r="AG29" s="10"/>
      <c r="AH29" s="10"/>
      <c r="AI29" s="2"/>
      <c r="AJ29" s="2">
        <f t="shared" si="0"/>
        <v>-137</v>
      </c>
      <c r="AK29" s="10" t="s">
        <v>192</v>
      </c>
    </row>
    <row r="30" spans="1:37" ht="40.049999999999997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2" t="s">
        <v>109</v>
      </c>
      <c r="L30" s="2">
        <v>566</v>
      </c>
      <c r="M30" s="10"/>
      <c r="N30" s="10"/>
      <c r="O30" s="13"/>
      <c r="P30" s="10"/>
      <c r="Q30" s="10"/>
      <c r="R30" s="11"/>
      <c r="S30" s="10"/>
      <c r="T30" s="11"/>
      <c r="U30" s="10"/>
      <c r="V30" s="10"/>
      <c r="W30" s="11"/>
      <c r="X30" s="2">
        <v>600</v>
      </c>
      <c r="Y30" s="10"/>
      <c r="Z30" s="11"/>
      <c r="AA30" s="10"/>
      <c r="AB30" s="10"/>
      <c r="AC30" s="2"/>
      <c r="AD30" s="10"/>
      <c r="AE30" s="10"/>
      <c r="AF30" s="10"/>
      <c r="AG30" s="10"/>
      <c r="AH30" s="10"/>
      <c r="AI30" s="2"/>
      <c r="AJ30" s="2">
        <f t="shared" si="0"/>
        <v>-566</v>
      </c>
      <c r="AK30" s="10"/>
    </row>
    <row r="31" spans="1:37" ht="40.049999999999997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2" t="s">
        <v>88</v>
      </c>
      <c r="L31" s="2">
        <v>401</v>
      </c>
      <c r="M31" s="10"/>
      <c r="N31" s="10"/>
      <c r="O31" s="13"/>
      <c r="P31" s="10"/>
      <c r="Q31" s="10"/>
      <c r="R31" s="11"/>
      <c r="S31" s="10"/>
      <c r="T31" s="11"/>
      <c r="U31" s="10"/>
      <c r="V31" s="10"/>
      <c r="W31" s="11"/>
      <c r="X31" s="2">
        <v>436</v>
      </c>
      <c r="Y31" s="10"/>
      <c r="Z31" s="11"/>
      <c r="AA31" s="10"/>
      <c r="AB31" s="10"/>
      <c r="AC31" s="2"/>
      <c r="AD31" s="10"/>
      <c r="AE31" s="10"/>
      <c r="AF31" s="10"/>
      <c r="AG31" s="10"/>
      <c r="AH31" s="10"/>
      <c r="AI31" s="2"/>
      <c r="AJ31" s="2">
        <f t="shared" si="0"/>
        <v>-401</v>
      </c>
      <c r="AK31" s="10"/>
    </row>
    <row r="32" spans="1:37" ht="30" customHeight="1" x14ac:dyDescent="0.3">
      <c r="A32" s="10">
        <v>10</v>
      </c>
      <c r="B32" s="10" t="s">
        <v>34</v>
      </c>
      <c r="C32" s="10" t="s">
        <v>46</v>
      </c>
      <c r="D32" s="10" t="s">
        <v>72</v>
      </c>
      <c r="E32" s="10" t="s">
        <v>142</v>
      </c>
      <c r="F32" s="10" t="e" vm="10">
        <v>#VALUE!</v>
      </c>
      <c r="G32" s="10" t="s">
        <v>38</v>
      </c>
      <c r="H32" s="10" t="s">
        <v>99</v>
      </c>
      <c r="I32" s="10" t="s">
        <v>100</v>
      </c>
      <c r="J32" s="10" t="s">
        <v>143</v>
      </c>
      <c r="K32" s="2" t="s">
        <v>86</v>
      </c>
      <c r="L32" s="2">
        <v>2798</v>
      </c>
      <c r="M32" s="10">
        <v>7048</v>
      </c>
      <c r="N32" s="10" t="s">
        <v>130</v>
      </c>
      <c r="O32" s="13" t="s">
        <v>78</v>
      </c>
      <c r="P32" s="10" t="s">
        <v>102</v>
      </c>
      <c r="Q32" s="12">
        <v>46101</v>
      </c>
      <c r="R32" s="14">
        <v>46101</v>
      </c>
      <c r="S32" s="12">
        <v>46134</v>
      </c>
      <c r="T32" s="9">
        <v>46127</v>
      </c>
      <c r="U32" s="10" t="s">
        <v>144</v>
      </c>
      <c r="V32" s="10"/>
      <c r="W32" s="20">
        <v>46097</v>
      </c>
      <c r="X32" s="2"/>
      <c r="Y32" s="12">
        <v>46136</v>
      </c>
      <c r="Z32" s="10"/>
      <c r="AA32" s="12">
        <v>46156</v>
      </c>
      <c r="AB32" s="10"/>
      <c r="AC32" s="2"/>
      <c r="AD32" s="12">
        <v>46167</v>
      </c>
      <c r="AE32" s="10"/>
      <c r="AF32" s="10" t="s">
        <v>78</v>
      </c>
      <c r="AG32" s="10"/>
      <c r="AH32" s="10"/>
      <c r="AI32" s="2"/>
      <c r="AJ32" s="2">
        <f t="shared" si="0"/>
        <v>-2798</v>
      </c>
      <c r="AK32" s="10" t="s">
        <v>195</v>
      </c>
    </row>
    <row r="33" spans="1:37" ht="30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2" t="s">
        <v>109</v>
      </c>
      <c r="L33" s="2">
        <v>679</v>
      </c>
      <c r="M33" s="10"/>
      <c r="N33" s="10"/>
      <c r="O33" s="13"/>
      <c r="P33" s="10"/>
      <c r="Q33" s="10"/>
      <c r="R33" s="11"/>
      <c r="S33" s="10"/>
      <c r="T33" s="5">
        <v>46128</v>
      </c>
      <c r="U33" s="10"/>
      <c r="V33" s="10"/>
      <c r="W33" s="11"/>
      <c r="X33" s="2"/>
      <c r="Y33" s="10"/>
      <c r="Z33" s="10"/>
      <c r="AA33" s="10"/>
      <c r="AB33" s="10"/>
      <c r="AC33" s="2"/>
      <c r="AD33" s="10"/>
      <c r="AE33" s="10"/>
      <c r="AF33" s="10"/>
      <c r="AG33" s="10"/>
      <c r="AH33" s="10"/>
      <c r="AI33" s="2"/>
      <c r="AJ33" s="2">
        <f t="shared" si="0"/>
        <v>-679</v>
      </c>
      <c r="AK33" s="10"/>
    </row>
    <row r="34" spans="1:37" ht="30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2" t="s">
        <v>88</v>
      </c>
      <c r="L34" s="2">
        <v>3295</v>
      </c>
      <c r="M34" s="10"/>
      <c r="N34" s="10"/>
      <c r="O34" s="13"/>
      <c r="P34" s="10"/>
      <c r="Q34" s="10"/>
      <c r="R34" s="11"/>
      <c r="S34" s="10"/>
      <c r="T34" s="2"/>
      <c r="U34" s="10"/>
      <c r="V34" s="10"/>
      <c r="W34" s="11"/>
      <c r="X34" s="2"/>
      <c r="Y34" s="10"/>
      <c r="Z34" s="10"/>
      <c r="AA34" s="10"/>
      <c r="AB34" s="10"/>
      <c r="AC34" s="2"/>
      <c r="AD34" s="10"/>
      <c r="AE34" s="10"/>
      <c r="AF34" s="10"/>
      <c r="AG34" s="10"/>
      <c r="AH34" s="10"/>
      <c r="AI34" s="2"/>
      <c r="AJ34" s="2">
        <f t="shared" si="0"/>
        <v>-3295</v>
      </c>
      <c r="AK34" s="10"/>
    </row>
    <row r="35" spans="1:37" ht="30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2" t="s">
        <v>105</v>
      </c>
      <c r="L35" s="2">
        <v>276</v>
      </c>
      <c r="M35" s="10"/>
      <c r="N35" s="10"/>
      <c r="O35" s="13"/>
      <c r="P35" s="10"/>
      <c r="Q35" s="10"/>
      <c r="R35" s="11"/>
      <c r="S35" s="10"/>
      <c r="T35" s="5">
        <v>46129</v>
      </c>
      <c r="U35" s="10"/>
      <c r="V35" s="10"/>
      <c r="W35" s="11"/>
      <c r="X35" s="2"/>
      <c r="Y35" s="10"/>
      <c r="Z35" s="10"/>
      <c r="AA35" s="10"/>
      <c r="AB35" s="10"/>
      <c r="AC35" s="2"/>
      <c r="AD35" s="10"/>
      <c r="AE35" s="10"/>
      <c r="AF35" s="10"/>
      <c r="AG35" s="10"/>
      <c r="AH35" s="10"/>
      <c r="AI35" s="2"/>
      <c r="AJ35" s="2">
        <f t="shared" si="0"/>
        <v>-276</v>
      </c>
      <c r="AK35" s="10"/>
    </row>
    <row r="36" spans="1:37" ht="30" customHeight="1" x14ac:dyDescent="0.3">
      <c r="A36" s="10">
        <v>11</v>
      </c>
      <c r="B36" s="10" t="s">
        <v>34</v>
      </c>
      <c r="C36" s="10" t="s">
        <v>46</v>
      </c>
      <c r="D36" s="10" t="s">
        <v>72</v>
      </c>
      <c r="E36" s="10" t="s">
        <v>73</v>
      </c>
      <c r="F36" s="10" t="e" vm="11">
        <v>#VALUE!</v>
      </c>
      <c r="G36" s="10" t="s">
        <v>38</v>
      </c>
      <c r="H36" s="10" t="s">
        <v>61</v>
      </c>
      <c r="I36" s="10" t="s">
        <v>62</v>
      </c>
      <c r="J36" s="10" t="s">
        <v>74</v>
      </c>
      <c r="K36" s="2" t="s">
        <v>75</v>
      </c>
      <c r="L36" s="2">
        <v>1292</v>
      </c>
      <c r="M36" s="10">
        <v>2817</v>
      </c>
      <c r="N36" s="10" t="s">
        <v>76</v>
      </c>
      <c r="O36" s="13" t="s">
        <v>77</v>
      </c>
      <c r="P36" s="10" t="s">
        <v>78</v>
      </c>
      <c r="Q36" s="12">
        <v>46101</v>
      </c>
      <c r="R36" s="14">
        <v>46101</v>
      </c>
      <c r="S36" s="6">
        <v>46107</v>
      </c>
      <c r="T36" s="4">
        <v>46107</v>
      </c>
      <c r="U36" s="10" t="s">
        <v>79</v>
      </c>
      <c r="V36" s="10"/>
      <c r="W36" s="11" t="s">
        <v>76</v>
      </c>
      <c r="X36" s="2"/>
      <c r="Y36" s="12">
        <v>46136</v>
      </c>
      <c r="Z36" s="10"/>
      <c r="AA36" s="12">
        <v>46140</v>
      </c>
      <c r="AB36" s="10"/>
      <c r="AC36" s="2"/>
      <c r="AD36" s="12">
        <v>46147</v>
      </c>
      <c r="AE36" s="10"/>
      <c r="AF36" s="10" t="s">
        <v>77</v>
      </c>
      <c r="AG36" s="10"/>
      <c r="AH36" s="10"/>
      <c r="AI36" s="2"/>
      <c r="AJ36" s="2">
        <f t="shared" si="0"/>
        <v>-1292</v>
      </c>
      <c r="AK36" s="10" t="s">
        <v>193</v>
      </c>
    </row>
    <row r="37" spans="1:37" ht="30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2" t="s">
        <v>80</v>
      </c>
      <c r="L37" s="2">
        <v>451</v>
      </c>
      <c r="M37" s="10"/>
      <c r="N37" s="10"/>
      <c r="O37" s="13"/>
      <c r="P37" s="10"/>
      <c r="Q37" s="10"/>
      <c r="R37" s="11"/>
      <c r="S37" s="8">
        <v>46109</v>
      </c>
      <c r="T37" s="5">
        <v>46109</v>
      </c>
      <c r="U37" s="10"/>
      <c r="V37" s="10"/>
      <c r="W37" s="11"/>
      <c r="X37" s="2"/>
      <c r="Y37" s="10"/>
      <c r="Z37" s="10"/>
      <c r="AA37" s="10"/>
      <c r="AB37" s="10"/>
      <c r="AC37" s="2"/>
      <c r="AD37" s="10"/>
      <c r="AE37" s="10"/>
      <c r="AF37" s="10"/>
      <c r="AG37" s="10"/>
      <c r="AH37" s="10"/>
      <c r="AI37" s="2"/>
      <c r="AJ37" s="2">
        <f t="shared" si="0"/>
        <v>-451</v>
      </c>
      <c r="AK37" s="10"/>
    </row>
    <row r="38" spans="1:37" ht="30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2" t="s">
        <v>81</v>
      </c>
      <c r="L38" s="2">
        <v>568</v>
      </c>
      <c r="M38" s="10"/>
      <c r="N38" s="10"/>
      <c r="O38" s="13"/>
      <c r="P38" s="10"/>
      <c r="Q38" s="10"/>
      <c r="R38" s="11"/>
      <c r="S38" s="8">
        <v>46111</v>
      </c>
      <c r="T38" s="5">
        <v>46111</v>
      </c>
      <c r="U38" s="10"/>
      <c r="V38" s="10"/>
      <c r="W38" s="11"/>
      <c r="X38" s="2"/>
      <c r="Y38" s="10"/>
      <c r="Z38" s="10"/>
      <c r="AA38" s="10"/>
      <c r="AB38" s="10"/>
      <c r="AC38" s="2"/>
      <c r="AD38" s="10"/>
      <c r="AE38" s="10"/>
      <c r="AF38" s="10"/>
      <c r="AG38" s="10"/>
      <c r="AH38" s="10"/>
      <c r="AI38" s="2"/>
      <c r="AJ38" s="2">
        <f t="shared" si="0"/>
        <v>-568</v>
      </c>
      <c r="AK38" s="10"/>
    </row>
    <row r="39" spans="1:37" ht="30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2" t="s">
        <v>82</v>
      </c>
      <c r="L39" s="2">
        <v>506</v>
      </c>
      <c r="M39" s="10"/>
      <c r="N39" s="10"/>
      <c r="O39" s="13"/>
      <c r="P39" s="10"/>
      <c r="Q39" s="10"/>
      <c r="R39" s="11"/>
      <c r="S39" s="6">
        <v>46107</v>
      </c>
      <c r="T39" s="4">
        <v>46107</v>
      </c>
      <c r="U39" s="10"/>
      <c r="V39" s="10"/>
      <c r="W39" s="11"/>
      <c r="X39" s="2"/>
      <c r="Y39" s="10"/>
      <c r="Z39" s="10"/>
      <c r="AA39" s="10"/>
      <c r="AB39" s="10"/>
      <c r="AC39" s="2"/>
      <c r="AD39" s="10"/>
      <c r="AE39" s="10"/>
      <c r="AF39" s="10"/>
      <c r="AG39" s="10"/>
      <c r="AH39" s="10"/>
      <c r="AI39" s="2"/>
      <c r="AJ39" s="2">
        <f t="shared" si="0"/>
        <v>-506</v>
      </c>
      <c r="AK39" s="10"/>
    </row>
    <row r="40" spans="1:37" ht="30" customHeight="1" x14ac:dyDescent="0.3">
      <c r="A40" s="10">
        <v>12</v>
      </c>
      <c r="B40" s="10" t="s">
        <v>34</v>
      </c>
      <c r="C40" s="10" t="s">
        <v>46</v>
      </c>
      <c r="D40" s="10" t="s">
        <v>72</v>
      </c>
      <c r="E40" s="10" t="s">
        <v>83</v>
      </c>
      <c r="F40" s="10" t="e" vm="12">
        <v>#VALUE!</v>
      </c>
      <c r="G40" s="10" t="s">
        <v>56</v>
      </c>
      <c r="H40" s="10" t="s">
        <v>57</v>
      </c>
      <c r="I40" s="10" t="s">
        <v>84</v>
      </c>
      <c r="J40" s="10" t="s">
        <v>85</v>
      </c>
      <c r="K40" s="2" t="s">
        <v>86</v>
      </c>
      <c r="L40" s="2">
        <v>552</v>
      </c>
      <c r="M40" s="10">
        <v>2489</v>
      </c>
      <c r="N40" s="10" t="s">
        <v>76</v>
      </c>
      <c r="O40" s="13" t="s">
        <v>77</v>
      </c>
      <c r="P40" s="10" t="s">
        <v>78</v>
      </c>
      <c r="Q40" s="12">
        <v>46101</v>
      </c>
      <c r="R40" s="14">
        <v>46101</v>
      </c>
      <c r="S40" s="12">
        <v>46100</v>
      </c>
      <c r="T40" s="14">
        <v>46100</v>
      </c>
      <c r="U40" s="10" t="s">
        <v>79</v>
      </c>
      <c r="V40" s="10"/>
      <c r="W40" s="11" t="s">
        <v>76</v>
      </c>
      <c r="X40" s="2">
        <v>580</v>
      </c>
      <c r="Y40" s="12">
        <v>46133</v>
      </c>
      <c r="Z40" s="10"/>
      <c r="AA40" s="12">
        <v>46139</v>
      </c>
      <c r="AB40" s="10"/>
      <c r="AC40" s="2"/>
      <c r="AD40" s="12">
        <v>46146</v>
      </c>
      <c r="AE40" s="10"/>
      <c r="AF40" s="10" t="s">
        <v>77</v>
      </c>
      <c r="AG40" s="10"/>
      <c r="AH40" s="10"/>
      <c r="AI40" s="2"/>
      <c r="AJ40" s="2">
        <f t="shared" si="0"/>
        <v>-552</v>
      </c>
      <c r="AK40" s="10" t="s">
        <v>199</v>
      </c>
    </row>
    <row r="41" spans="1:37" ht="30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2" t="s">
        <v>87</v>
      </c>
      <c r="L41" s="2">
        <v>679</v>
      </c>
      <c r="M41" s="10"/>
      <c r="N41" s="10"/>
      <c r="O41" s="13"/>
      <c r="P41" s="10"/>
      <c r="Q41" s="10"/>
      <c r="R41" s="11"/>
      <c r="S41" s="10"/>
      <c r="T41" s="11"/>
      <c r="U41" s="10"/>
      <c r="V41" s="10"/>
      <c r="W41" s="11"/>
      <c r="X41" s="2">
        <v>710</v>
      </c>
      <c r="Y41" s="10"/>
      <c r="Z41" s="10"/>
      <c r="AA41" s="10"/>
      <c r="AB41" s="10"/>
      <c r="AC41" s="2"/>
      <c r="AD41" s="10"/>
      <c r="AE41" s="10"/>
      <c r="AF41" s="10"/>
      <c r="AG41" s="10"/>
      <c r="AH41" s="10"/>
      <c r="AI41" s="2"/>
      <c r="AJ41" s="2">
        <f t="shared" si="0"/>
        <v>-679</v>
      </c>
      <c r="AK41" s="10"/>
    </row>
    <row r="42" spans="1:37" ht="30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2" t="s">
        <v>88</v>
      </c>
      <c r="L42" s="2">
        <v>725</v>
      </c>
      <c r="M42" s="10"/>
      <c r="N42" s="10"/>
      <c r="O42" s="13"/>
      <c r="P42" s="10"/>
      <c r="Q42" s="10"/>
      <c r="R42" s="11"/>
      <c r="S42" s="10"/>
      <c r="T42" s="11"/>
      <c r="U42" s="10"/>
      <c r="V42" s="10"/>
      <c r="W42" s="11"/>
      <c r="X42" s="2">
        <v>760</v>
      </c>
      <c r="Y42" s="10"/>
      <c r="Z42" s="10"/>
      <c r="AA42" s="10"/>
      <c r="AB42" s="10"/>
      <c r="AC42" s="2"/>
      <c r="AD42" s="10"/>
      <c r="AE42" s="10"/>
      <c r="AF42" s="10"/>
      <c r="AG42" s="10"/>
      <c r="AH42" s="10"/>
      <c r="AI42" s="2"/>
      <c r="AJ42" s="2">
        <f t="shared" si="0"/>
        <v>-725</v>
      </c>
      <c r="AK42" s="10"/>
    </row>
    <row r="43" spans="1:37" ht="30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2" t="s">
        <v>89</v>
      </c>
      <c r="L43" s="2">
        <v>533</v>
      </c>
      <c r="M43" s="10"/>
      <c r="N43" s="10"/>
      <c r="O43" s="13"/>
      <c r="P43" s="10"/>
      <c r="Q43" s="10"/>
      <c r="R43" s="11"/>
      <c r="S43" s="10"/>
      <c r="T43" s="11"/>
      <c r="U43" s="10"/>
      <c r="V43" s="10"/>
      <c r="W43" s="11"/>
      <c r="X43" s="2">
        <v>562</v>
      </c>
      <c r="Y43" s="10"/>
      <c r="Z43" s="10"/>
      <c r="AA43" s="10"/>
      <c r="AB43" s="10"/>
      <c r="AC43" s="2"/>
      <c r="AD43" s="10"/>
      <c r="AE43" s="10"/>
      <c r="AF43" s="10"/>
      <c r="AG43" s="10"/>
      <c r="AH43" s="10"/>
      <c r="AI43" s="2"/>
      <c r="AJ43" s="2">
        <f t="shared" si="0"/>
        <v>-533</v>
      </c>
      <c r="AK43" s="10"/>
    </row>
    <row r="44" spans="1:37" ht="30" customHeight="1" x14ac:dyDescent="0.3">
      <c r="A44" s="10">
        <v>13</v>
      </c>
      <c r="B44" s="10" t="s">
        <v>34</v>
      </c>
      <c r="C44" s="10" t="s">
        <v>46</v>
      </c>
      <c r="D44" s="10" t="s">
        <v>72</v>
      </c>
      <c r="E44" s="10" t="s">
        <v>90</v>
      </c>
      <c r="F44" s="10" t="e" vm="13">
        <v>#VALUE!</v>
      </c>
      <c r="G44" s="10" t="s">
        <v>91</v>
      </c>
      <c r="H44" s="10" t="s">
        <v>57</v>
      </c>
      <c r="I44" s="10" t="s">
        <v>84</v>
      </c>
      <c r="J44" s="10" t="s">
        <v>92</v>
      </c>
      <c r="K44" s="2" t="s">
        <v>86</v>
      </c>
      <c r="L44" s="2">
        <v>588</v>
      </c>
      <c r="M44" s="10">
        <v>3332</v>
      </c>
      <c r="N44" s="10" t="s">
        <v>76</v>
      </c>
      <c r="O44" s="13" t="s">
        <v>77</v>
      </c>
      <c r="P44" s="10" t="s">
        <v>78</v>
      </c>
      <c r="Q44" s="12">
        <v>46101</v>
      </c>
      <c r="R44" s="14">
        <v>46101</v>
      </c>
      <c r="S44" s="12">
        <v>46100</v>
      </c>
      <c r="T44" s="14">
        <v>46100</v>
      </c>
      <c r="U44" s="10" t="s">
        <v>79</v>
      </c>
      <c r="V44" s="10"/>
      <c r="W44" s="11" t="s">
        <v>76</v>
      </c>
      <c r="X44" s="2">
        <v>620</v>
      </c>
      <c r="Y44" s="12">
        <v>46111</v>
      </c>
      <c r="Z44" s="14">
        <v>46111</v>
      </c>
      <c r="AA44" s="12">
        <v>46122</v>
      </c>
      <c r="AB44" s="14">
        <v>46122</v>
      </c>
      <c r="AC44" s="2">
        <v>620</v>
      </c>
      <c r="AD44" s="12">
        <v>46133</v>
      </c>
      <c r="AE44" s="10"/>
      <c r="AF44" s="10" t="s">
        <v>77</v>
      </c>
      <c r="AG44" s="10"/>
      <c r="AH44" s="10"/>
      <c r="AI44" s="2"/>
      <c r="AJ44" s="2">
        <f t="shared" si="0"/>
        <v>-588</v>
      </c>
      <c r="AK44" s="10" t="s">
        <v>194</v>
      </c>
    </row>
    <row r="45" spans="1:37" ht="30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2" t="s">
        <v>87</v>
      </c>
      <c r="L45" s="2">
        <v>691</v>
      </c>
      <c r="M45" s="10"/>
      <c r="N45" s="10"/>
      <c r="O45" s="13"/>
      <c r="P45" s="10"/>
      <c r="Q45" s="10"/>
      <c r="R45" s="11"/>
      <c r="S45" s="10"/>
      <c r="T45" s="11"/>
      <c r="U45" s="10"/>
      <c r="V45" s="10"/>
      <c r="W45" s="11"/>
      <c r="X45" s="2">
        <v>728</v>
      </c>
      <c r="Y45" s="10"/>
      <c r="Z45" s="11"/>
      <c r="AA45" s="10"/>
      <c r="AB45" s="11"/>
      <c r="AC45" s="2">
        <v>725</v>
      </c>
      <c r="AD45" s="10"/>
      <c r="AE45" s="10"/>
      <c r="AF45" s="10"/>
      <c r="AG45" s="10"/>
      <c r="AH45" s="10"/>
      <c r="AI45" s="2"/>
      <c r="AJ45" s="2">
        <f t="shared" si="0"/>
        <v>-691</v>
      </c>
      <c r="AK45" s="10"/>
    </row>
    <row r="46" spans="1:37" ht="30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2" t="s">
        <v>88</v>
      </c>
      <c r="L46" s="2">
        <v>1327</v>
      </c>
      <c r="M46" s="10"/>
      <c r="N46" s="10"/>
      <c r="O46" s="13"/>
      <c r="P46" s="10"/>
      <c r="Q46" s="10"/>
      <c r="R46" s="11"/>
      <c r="S46" s="10"/>
      <c r="T46" s="11"/>
      <c r="U46" s="10"/>
      <c r="V46" s="10"/>
      <c r="W46" s="11"/>
      <c r="X46" s="2">
        <v>1400</v>
      </c>
      <c r="Y46" s="10"/>
      <c r="Z46" s="11"/>
      <c r="AA46" s="10"/>
      <c r="AB46" s="11"/>
      <c r="AC46" s="2">
        <v>1390</v>
      </c>
      <c r="AD46" s="10"/>
      <c r="AE46" s="10"/>
      <c r="AF46" s="10"/>
      <c r="AG46" s="10"/>
      <c r="AH46" s="10"/>
      <c r="AI46" s="2"/>
      <c r="AJ46" s="2">
        <f t="shared" si="0"/>
        <v>-1327</v>
      </c>
      <c r="AK46" s="10"/>
    </row>
    <row r="47" spans="1:37" ht="30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2" t="s">
        <v>89</v>
      </c>
      <c r="L47" s="2">
        <v>726</v>
      </c>
      <c r="M47" s="10"/>
      <c r="N47" s="10"/>
      <c r="O47" s="13"/>
      <c r="P47" s="10"/>
      <c r="Q47" s="10"/>
      <c r="R47" s="11"/>
      <c r="S47" s="10"/>
      <c r="T47" s="11"/>
      <c r="U47" s="10"/>
      <c r="V47" s="10"/>
      <c r="W47" s="11"/>
      <c r="X47" s="2">
        <v>772</v>
      </c>
      <c r="Y47" s="10"/>
      <c r="Z47" s="11"/>
      <c r="AA47" s="10"/>
      <c r="AB47" s="11"/>
      <c r="AC47" s="2">
        <v>770</v>
      </c>
      <c r="AD47" s="10"/>
      <c r="AE47" s="10"/>
      <c r="AF47" s="10"/>
      <c r="AG47" s="10"/>
      <c r="AH47" s="10"/>
      <c r="AI47" s="2"/>
      <c r="AJ47" s="2">
        <f t="shared" si="0"/>
        <v>-726</v>
      </c>
      <c r="AK47" s="10"/>
    </row>
    <row r="48" spans="1:37" ht="60" customHeight="1" x14ac:dyDescent="0.3">
      <c r="A48" s="10">
        <v>14</v>
      </c>
      <c r="B48" s="10" t="s">
        <v>34</v>
      </c>
      <c r="C48" s="10" t="s">
        <v>46</v>
      </c>
      <c r="D48" s="10" t="s">
        <v>72</v>
      </c>
      <c r="E48" s="10" t="s">
        <v>93</v>
      </c>
      <c r="F48" s="10" t="e" vm="14">
        <v>#VALUE!</v>
      </c>
      <c r="G48" s="10" t="s">
        <v>94</v>
      </c>
      <c r="H48" s="10" t="s">
        <v>57</v>
      </c>
      <c r="I48" s="10" t="s">
        <v>84</v>
      </c>
      <c r="J48" s="10" t="s">
        <v>95</v>
      </c>
      <c r="K48" s="2" t="s">
        <v>87</v>
      </c>
      <c r="L48" s="2">
        <v>334</v>
      </c>
      <c r="M48" s="10">
        <v>559</v>
      </c>
      <c r="N48" s="10" t="s">
        <v>76</v>
      </c>
      <c r="O48" s="13" t="s">
        <v>77</v>
      </c>
      <c r="P48" s="10" t="s">
        <v>78</v>
      </c>
      <c r="Q48" s="12">
        <v>46101</v>
      </c>
      <c r="R48" s="14">
        <v>46101</v>
      </c>
      <c r="S48" s="12">
        <v>46100</v>
      </c>
      <c r="T48" s="14">
        <v>46100</v>
      </c>
      <c r="U48" s="10" t="s">
        <v>96</v>
      </c>
      <c r="V48" s="10"/>
      <c r="W48" s="11" t="s">
        <v>76</v>
      </c>
      <c r="X48" s="2">
        <v>368</v>
      </c>
      <c r="Y48" s="12">
        <v>46129</v>
      </c>
      <c r="Z48" s="14">
        <v>46129</v>
      </c>
      <c r="AA48" s="12">
        <v>46133</v>
      </c>
      <c r="AB48" s="10"/>
      <c r="AC48" s="2"/>
      <c r="AD48" s="12">
        <v>46139</v>
      </c>
      <c r="AE48" s="10"/>
      <c r="AF48" s="10" t="s">
        <v>77</v>
      </c>
      <c r="AG48" s="10"/>
      <c r="AH48" s="10"/>
      <c r="AI48" s="2"/>
      <c r="AJ48" s="2">
        <f t="shared" si="0"/>
        <v>-334</v>
      </c>
      <c r="AK48" s="10" t="s">
        <v>192</v>
      </c>
    </row>
    <row r="49" spans="1:37" ht="60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2" t="s">
        <v>88</v>
      </c>
      <c r="L49" s="2">
        <v>225</v>
      </c>
      <c r="M49" s="10"/>
      <c r="N49" s="10"/>
      <c r="O49" s="13"/>
      <c r="P49" s="10"/>
      <c r="Q49" s="10"/>
      <c r="R49" s="11"/>
      <c r="S49" s="10"/>
      <c r="T49" s="11"/>
      <c r="U49" s="10"/>
      <c r="V49" s="10"/>
      <c r="W49" s="11"/>
      <c r="X49" s="2">
        <v>248</v>
      </c>
      <c r="Y49" s="10"/>
      <c r="Z49" s="11"/>
      <c r="AA49" s="10"/>
      <c r="AB49" s="10"/>
      <c r="AC49" s="2"/>
      <c r="AD49" s="10"/>
      <c r="AE49" s="10"/>
      <c r="AF49" s="10"/>
      <c r="AG49" s="10"/>
      <c r="AH49" s="10"/>
      <c r="AI49" s="2"/>
      <c r="AJ49" s="2">
        <f t="shared" si="0"/>
        <v>-225</v>
      </c>
      <c r="AK49" s="10"/>
    </row>
    <row r="50" spans="1:37" ht="40.049999999999997" customHeight="1" x14ac:dyDescent="0.3">
      <c r="A50" s="10">
        <v>15</v>
      </c>
      <c r="B50" s="10" t="s">
        <v>34</v>
      </c>
      <c r="C50" s="10" t="s">
        <v>46</v>
      </c>
      <c r="D50" s="10" t="s">
        <v>72</v>
      </c>
      <c r="E50" s="10" t="s">
        <v>106</v>
      </c>
      <c r="F50" s="10" t="e" vm="15">
        <v>#VALUE!</v>
      </c>
      <c r="G50" s="10" t="s">
        <v>38</v>
      </c>
      <c r="H50" s="10" t="s">
        <v>107</v>
      </c>
      <c r="I50" s="10" t="s">
        <v>100</v>
      </c>
      <c r="J50" s="10" t="s">
        <v>108</v>
      </c>
      <c r="K50" s="2" t="s">
        <v>86</v>
      </c>
      <c r="L50" s="2">
        <v>2349</v>
      </c>
      <c r="M50" s="10">
        <v>6034</v>
      </c>
      <c r="N50" s="10" t="s">
        <v>76</v>
      </c>
      <c r="O50" s="13" t="s">
        <v>77</v>
      </c>
      <c r="P50" s="10" t="s">
        <v>78</v>
      </c>
      <c r="Q50" s="12">
        <v>46101</v>
      </c>
      <c r="R50" s="14">
        <v>46101</v>
      </c>
      <c r="S50" s="12">
        <v>46115</v>
      </c>
      <c r="T50" s="14">
        <v>46115</v>
      </c>
      <c r="U50" s="10" t="s">
        <v>96</v>
      </c>
      <c r="V50" s="10"/>
      <c r="W50" s="11" t="s">
        <v>76</v>
      </c>
      <c r="X50" s="2">
        <v>2490</v>
      </c>
      <c r="Y50" s="12">
        <v>46133</v>
      </c>
      <c r="Z50" s="12"/>
      <c r="AA50" s="12">
        <v>46142</v>
      </c>
      <c r="AB50" s="10"/>
      <c r="AC50" s="2"/>
      <c r="AD50" s="12">
        <v>46151</v>
      </c>
      <c r="AE50" s="10"/>
      <c r="AF50" s="10" t="s">
        <v>77</v>
      </c>
      <c r="AG50" s="10"/>
      <c r="AH50" s="10"/>
      <c r="AI50" s="2"/>
      <c r="AJ50" s="2">
        <f t="shared" si="0"/>
        <v>-2349</v>
      </c>
      <c r="AK50" s="10" t="s">
        <v>192</v>
      </c>
    </row>
    <row r="51" spans="1:37" ht="40.049999999999997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2" t="s">
        <v>109</v>
      </c>
      <c r="L51" s="2">
        <v>1935</v>
      </c>
      <c r="M51" s="10"/>
      <c r="N51" s="10"/>
      <c r="O51" s="13"/>
      <c r="P51" s="10"/>
      <c r="Q51" s="10"/>
      <c r="R51" s="11"/>
      <c r="S51" s="10"/>
      <c r="T51" s="11"/>
      <c r="U51" s="10"/>
      <c r="V51" s="10"/>
      <c r="W51" s="11"/>
      <c r="X51" s="2">
        <v>2032</v>
      </c>
      <c r="Y51" s="10"/>
      <c r="Z51" s="10"/>
      <c r="AA51" s="10"/>
      <c r="AB51" s="10"/>
      <c r="AC51" s="2"/>
      <c r="AD51" s="10"/>
      <c r="AE51" s="10"/>
      <c r="AF51" s="10"/>
      <c r="AG51" s="10"/>
      <c r="AH51" s="10"/>
      <c r="AI51" s="2"/>
      <c r="AJ51" s="2">
        <f t="shared" si="0"/>
        <v>-1935</v>
      </c>
      <c r="AK51" s="10"/>
    </row>
    <row r="52" spans="1:37" ht="40.049999999999997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2" t="s">
        <v>88</v>
      </c>
      <c r="L52" s="2">
        <v>1750</v>
      </c>
      <c r="M52" s="10"/>
      <c r="N52" s="10"/>
      <c r="O52" s="13"/>
      <c r="P52" s="10"/>
      <c r="Q52" s="10"/>
      <c r="R52" s="11"/>
      <c r="S52" s="10"/>
      <c r="T52" s="11"/>
      <c r="U52" s="10"/>
      <c r="V52" s="10"/>
      <c r="W52" s="11"/>
      <c r="X52" s="2">
        <v>1818</v>
      </c>
      <c r="Y52" s="10"/>
      <c r="Z52" s="10"/>
      <c r="AA52" s="10"/>
      <c r="AB52" s="10"/>
      <c r="AC52" s="2"/>
      <c r="AD52" s="10"/>
      <c r="AE52" s="10"/>
      <c r="AF52" s="10"/>
      <c r="AG52" s="10"/>
      <c r="AH52" s="10"/>
      <c r="AI52" s="2"/>
      <c r="AJ52" s="2">
        <f t="shared" si="0"/>
        <v>-1750</v>
      </c>
      <c r="AK52" s="10"/>
    </row>
    <row r="53" spans="1:37" ht="30" customHeight="1" x14ac:dyDescent="0.3">
      <c r="A53" s="10">
        <v>16</v>
      </c>
      <c r="B53" s="10" t="s">
        <v>34</v>
      </c>
      <c r="C53" s="10" t="s">
        <v>46</v>
      </c>
      <c r="D53" s="10" t="s">
        <v>72</v>
      </c>
      <c r="E53" s="10" t="s">
        <v>110</v>
      </c>
      <c r="F53" s="10" t="e" vm="16">
        <v>#VALUE!</v>
      </c>
      <c r="G53" s="10" t="s">
        <v>38</v>
      </c>
      <c r="H53" s="10" t="s">
        <v>107</v>
      </c>
      <c r="I53" s="10" t="s">
        <v>100</v>
      </c>
      <c r="J53" s="10" t="s">
        <v>111</v>
      </c>
      <c r="K53" s="2" t="s">
        <v>86</v>
      </c>
      <c r="L53" s="2">
        <v>607</v>
      </c>
      <c r="M53" s="10">
        <v>4189</v>
      </c>
      <c r="N53" s="10" t="s">
        <v>76</v>
      </c>
      <c r="O53" s="13" t="s">
        <v>77</v>
      </c>
      <c r="P53" s="10" t="s">
        <v>78</v>
      </c>
      <c r="Q53" s="12">
        <v>46101</v>
      </c>
      <c r="R53" s="14">
        <v>46101</v>
      </c>
      <c r="S53" s="12">
        <v>46111</v>
      </c>
      <c r="T53" s="14">
        <v>46111</v>
      </c>
      <c r="U53" s="10" t="s">
        <v>96</v>
      </c>
      <c r="V53" s="10"/>
      <c r="W53" s="11" t="s">
        <v>76</v>
      </c>
      <c r="X53" s="2">
        <v>648</v>
      </c>
      <c r="Y53" s="12">
        <v>46130</v>
      </c>
      <c r="Z53" s="14">
        <v>46130</v>
      </c>
      <c r="AA53" s="12">
        <v>46141</v>
      </c>
      <c r="AB53" s="10"/>
      <c r="AC53" s="2"/>
      <c r="AD53" s="12">
        <v>46152</v>
      </c>
      <c r="AE53" s="10"/>
      <c r="AF53" s="10" t="s">
        <v>77</v>
      </c>
      <c r="AG53" s="10"/>
      <c r="AH53" s="10"/>
      <c r="AI53" s="2"/>
      <c r="AJ53" s="2">
        <f t="shared" si="0"/>
        <v>-607</v>
      </c>
      <c r="AK53" s="10" t="s">
        <v>192</v>
      </c>
    </row>
    <row r="54" spans="1:37" ht="30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2" t="s">
        <v>109</v>
      </c>
      <c r="L54" s="2">
        <v>1399</v>
      </c>
      <c r="M54" s="10"/>
      <c r="N54" s="10"/>
      <c r="O54" s="13"/>
      <c r="P54" s="10"/>
      <c r="Q54" s="10"/>
      <c r="R54" s="11"/>
      <c r="S54" s="10"/>
      <c r="T54" s="11"/>
      <c r="U54" s="10"/>
      <c r="V54" s="10"/>
      <c r="W54" s="11"/>
      <c r="X54" s="2">
        <v>1540</v>
      </c>
      <c r="Y54" s="10"/>
      <c r="Z54" s="11"/>
      <c r="AA54" s="10"/>
      <c r="AB54" s="10"/>
      <c r="AC54" s="2"/>
      <c r="AD54" s="10"/>
      <c r="AE54" s="10"/>
      <c r="AF54" s="10"/>
      <c r="AG54" s="10"/>
      <c r="AH54" s="10"/>
      <c r="AI54" s="2"/>
      <c r="AJ54" s="2">
        <f t="shared" si="0"/>
        <v>-1399</v>
      </c>
      <c r="AK54" s="10"/>
    </row>
    <row r="55" spans="1:37" ht="30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2" t="s">
        <v>88</v>
      </c>
      <c r="L55" s="2">
        <v>1143</v>
      </c>
      <c r="M55" s="10"/>
      <c r="N55" s="10"/>
      <c r="O55" s="13"/>
      <c r="P55" s="10"/>
      <c r="Q55" s="10"/>
      <c r="R55" s="11"/>
      <c r="S55" s="10"/>
      <c r="T55" s="11"/>
      <c r="U55" s="10"/>
      <c r="V55" s="10"/>
      <c r="W55" s="11"/>
      <c r="X55" s="2">
        <v>1236</v>
      </c>
      <c r="Y55" s="10"/>
      <c r="Z55" s="11"/>
      <c r="AA55" s="10"/>
      <c r="AB55" s="10"/>
      <c r="AC55" s="2"/>
      <c r="AD55" s="10"/>
      <c r="AE55" s="10"/>
      <c r="AF55" s="10"/>
      <c r="AG55" s="10"/>
      <c r="AH55" s="10"/>
      <c r="AI55" s="2"/>
      <c r="AJ55" s="2">
        <f t="shared" si="0"/>
        <v>-1143</v>
      </c>
      <c r="AK55" s="10"/>
    </row>
    <row r="56" spans="1:37" ht="30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2" t="s">
        <v>105</v>
      </c>
      <c r="L56" s="2">
        <v>1040</v>
      </c>
      <c r="M56" s="10"/>
      <c r="N56" s="10"/>
      <c r="O56" s="13"/>
      <c r="P56" s="10"/>
      <c r="Q56" s="10"/>
      <c r="R56" s="11"/>
      <c r="S56" s="10"/>
      <c r="T56" s="11"/>
      <c r="U56" s="10"/>
      <c r="V56" s="10"/>
      <c r="W56" s="11"/>
      <c r="X56" s="2">
        <v>1120</v>
      </c>
      <c r="Y56" s="10"/>
      <c r="Z56" s="11"/>
      <c r="AA56" s="10"/>
      <c r="AB56" s="10"/>
      <c r="AC56" s="2"/>
      <c r="AD56" s="10"/>
      <c r="AE56" s="10"/>
      <c r="AF56" s="10"/>
      <c r="AG56" s="10"/>
      <c r="AH56" s="10"/>
      <c r="AI56" s="2"/>
      <c r="AJ56" s="2">
        <f t="shared" si="0"/>
        <v>-1040</v>
      </c>
      <c r="AK56" s="10"/>
    </row>
    <row r="57" spans="1:37" ht="60" customHeight="1" x14ac:dyDescent="0.3">
      <c r="A57" s="10">
        <v>17</v>
      </c>
      <c r="B57" s="10" t="s">
        <v>34</v>
      </c>
      <c r="C57" s="10" t="s">
        <v>46</v>
      </c>
      <c r="D57" s="10" t="s">
        <v>72</v>
      </c>
      <c r="E57" s="10" t="s">
        <v>125</v>
      </c>
      <c r="F57" s="10" t="e" vm="17">
        <v>#VALUE!</v>
      </c>
      <c r="G57" s="10" t="s">
        <v>38</v>
      </c>
      <c r="H57" s="10" t="s">
        <v>107</v>
      </c>
      <c r="I57" s="10" t="s">
        <v>100</v>
      </c>
      <c r="J57" s="10" t="s">
        <v>126</v>
      </c>
      <c r="K57" s="2" t="s">
        <v>86</v>
      </c>
      <c r="L57" s="2">
        <v>392</v>
      </c>
      <c r="M57" s="10">
        <v>755</v>
      </c>
      <c r="N57" s="10" t="s">
        <v>76</v>
      </c>
      <c r="O57" s="13" t="s">
        <v>77</v>
      </c>
      <c r="P57" s="10" t="s">
        <v>78</v>
      </c>
      <c r="Q57" s="12">
        <v>46101</v>
      </c>
      <c r="R57" s="14">
        <v>46101</v>
      </c>
      <c r="S57" s="12">
        <v>46107</v>
      </c>
      <c r="T57" s="14">
        <v>46107</v>
      </c>
      <c r="U57" s="10" t="s">
        <v>96</v>
      </c>
      <c r="V57" s="10"/>
      <c r="W57" s="11"/>
      <c r="X57" s="2">
        <v>430</v>
      </c>
      <c r="Y57" s="12">
        <v>46132</v>
      </c>
      <c r="Z57" s="14">
        <v>46132</v>
      </c>
      <c r="AA57" s="12">
        <v>46135</v>
      </c>
      <c r="AB57" s="10"/>
      <c r="AC57" s="2"/>
      <c r="AD57" s="12">
        <v>46147</v>
      </c>
      <c r="AE57" s="10"/>
      <c r="AF57" s="10" t="s">
        <v>77</v>
      </c>
      <c r="AG57" s="10"/>
      <c r="AH57" s="10"/>
      <c r="AI57" s="2"/>
      <c r="AJ57" s="2">
        <f t="shared" si="0"/>
        <v>-392</v>
      </c>
      <c r="AK57" s="10" t="s">
        <v>192</v>
      </c>
    </row>
    <row r="58" spans="1:37" ht="60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2" t="s">
        <v>88</v>
      </c>
      <c r="L58" s="2">
        <v>363</v>
      </c>
      <c r="M58" s="10"/>
      <c r="N58" s="10"/>
      <c r="O58" s="13"/>
      <c r="P58" s="10"/>
      <c r="Q58" s="10"/>
      <c r="R58" s="11"/>
      <c r="S58" s="10"/>
      <c r="T58" s="11"/>
      <c r="U58" s="10"/>
      <c r="V58" s="10"/>
      <c r="W58" s="11"/>
      <c r="X58" s="2">
        <v>396</v>
      </c>
      <c r="Y58" s="10"/>
      <c r="Z58" s="11"/>
      <c r="AA58" s="10"/>
      <c r="AB58" s="10"/>
      <c r="AC58" s="2"/>
      <c r="AD58" s="10"/>
      <c r="AE58" s="10"/>
      <c r="AF58" s="10"/>
      <c r="AG58" s="10"/>
      <c r="AH58" s="10"/>
      <c r="AI58" s="2"/>
      <c r="AJ58" s="2">
        <f t="shared" si="0"/>
        <v>-363</v>
      </c>
      <c r="AK58" s="10"/>
    </row>
    <row r="59" spans="1:37" ht="30" customHeight="1" x14ac:dyDescent="0.3">
      <c r="A59" s="10">
        <v>18</v>
      </c>
      <c r="B59" s="10" t="s">
        <v>34</v>
      </c>
      <c r="C59" s="10" t="s">
        <v>46</v>
      </c>
      <c r="D59" s="10" t="s">
        <v>72</v>
      </c>
      <c r="E59" s="10" t="s">
        <v>114</v>
      </c>
      <c r="F59" s="10" t="e" vm="18">
        <v>#VALUE!</v>
      </c>
      <c r="G59" s="10" t="s">
        <v>38</v>
      </c>
      <c r="H59" s="10" t="s">
        <v>48</v>
      </c>
      <c r="I59" s="10" t="s">
        <v>115</v>
      </c>
      <c r="J59" s="10" t="s">
        <v>116</v>
      </c>
      <c r="K59" s="2" t="s">
        <v>86</v>
      </c>
      <c r="L59" s="2">
        <v>724</v>
      </c>
      <c r="M59" s="10">
        <v>3249</v>
      </c>
      <c r="N59" s="10" t="s">
        <v>76</v>
      </c>
      <c r="O59" s="13" t="s">
        <v>77</v>
      </c>
      <c r="P59" s="10" t="s">
        <v>78</v>
      </c>
      <c r="Q59" s="12">
        <v>46101</v>
      </c>
      <c r="R59" s="14">
        <v>46101</v>
      </c>
      <c r="S59" s="12">
        <v>46088</v>
      </c>
      <c r="T59" s="14">
        <v>46088</v>
      </c>
      <c r="U59" s="10" t="s">
        <v>96</v>
      </c>
      <c r="V59" s="10"/>
      <c r="W59" s="11" t="s">
        <v>76</v>
      </c>
      <c r="X59" s="2"/>
      <c r="Y59" s="12">
        <v>46139</v>
      </c>
      <c r="Z59" s="10"/>
      <c r="AA59" s="12">
        <v>46146</v>
      </c>
      <c r="AB59" s="10"/>
      <c r="AC59" s="2"/>
      <c r="AD59" s="12">
        <v>46150</v>
      </c>
      <c r="AE59" s="10"/>
      <c r="AF59" s="10" t="s">
        <v>77</v>
      </c>
      <c r="AG59" s="10"/>
      <c r="AH59" s="10"/>
      <c r="AI59" s="2"/>
      <c r="AJ59" s="2">
        <f t="shared" si="0"/>
        <v>-724</v>
      </c>
      <c r="AK59" s="10" t="s">
        <v>191</v>
      </c>
    </row>
    <row r="60" spans="1:37" ht="30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2" t="s">
        <v>87</v>
      </c>
      <c r="L60" s="2">
        <v>715</v>
      </c>
      <c r="M60" s="10"/>
      <c r="N60" s="10"/>
      <c r="O60" s="13"/>
      <c r="P60" s="10"/>
      <c r="Q60" s="10"/>
      <c r="R60" s="11"/>
      <c r="S60" s="10"/>
      <c r="T60" s="11"/>
      <c r="U60" s="10"/>
      <c r="V60" s="10"/>
      <c r="W60" s="11"/>
      <c r="X60" s="2"/>
      <c r="Y60" s="10"/>
      <c r="Z60" s="10"/>
      <c r="AA60" s="10"/>
      <c r="AB60" s="10"/>
      <c r="AC60" s="2"/>
      <c r="AD60" s="10"/>
      <c r="AE60" s="10"/>
      <c r="AF60" s="10"/>
      <c r="AG60" s="10"/>
      <c r="AH60" s="10"/>
      <c r="AI60" s="2"/>
      <c r="AJ60" s="2">
        <f t="shared" si="0"/>
        <v>-715</v>
      </c>
      <c r="AK60" s="10"/>
    </row>
    <row r="61" spans="1:37" ht="30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2" t="s">
        <v>88</v>
      </c>
      <c r="L61" s="2">
        <v>1264</v>
      </c>
      <c r="M61" s="10"/>
      <c r="N61" s="10"/>
      <c r="O61" s="13"/>
      <c r="P61" s="10"/>
      <c r="Q61" s="10"/>
      <c r="R61" s="11"/>
      <c r="S61" s="10"/>
      <c r="T61" s="11"/>
      <c r="U61" s="10"/>
      <c r="V61" s="10"/>
      <c r="W61" s="11"/>
      <c r="X61" s="2"/>
      <c r="Y61" s="10"/>
      <c r="Z61" s="10"/>
      <c r="AA61" s="10"/>
      <c r="AB61" s="10"/>
      <c r="AC61" s="2"/>
      <c r="AD61" s="10"/>
      <c r="AE61" s="10"/>
      <c r="AF61" s="10"/>
      <c r="AG61" s="10"/>
      <c r="AH61" s="10"/>
      <c r="AI61" s="2"/>
      <c r="AJ61" s="2">
        <f t="shared" si="0"/>
        <v>-1264</v>
      </c>
      <c r="AK61" s="10"/>
    </row>
    <row r="62" spans="1:37" ht="30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2" t="s">
        <v>105</v>
      </c>
      <c r="L62" s="2">
        <v>546</v>
      </c>
      <c r="M62" s="10"/>
      <c r="N62" s="10"/>
      <c r="O62" s="13"/>
      <c r="P62" s="10"/>
      <c r="Q62" s="10"/>
      <c r="R62" s="11"/>
      <c r="S62" s="10"/>
      <c r="T62" s="11"/>
      <c r="U62" s="10"/>
      <c r="V62" s="10"/>
      <c r="W62" s="11"/>
      <c r="X62" s="2"/>
      <c r="Y62" s="10"/>
      <c r="Z62" s="10"/>
      <c r="AA62" s="10"/>
      <c r="AB62" s="10"/>
      <c r="AC62" s="2"/>
      <c r="AD62" s="10"/>
      <c r="AE62" s="10"/>
      <c r="AF62" s="10"/>
      <c r="AG62" s="10"/>
      <c r="AH62" s="10"/>
      <c r="AI62" s="2"/>
      <c r="AJ62" s="2">
        <f t="shared" si="0"/>
        <v>-546</v>
      </c>
      <c r="AK62" s="10"/>
    </row>
    <row r="63" spans="1:37" ht="18" customHeight="1" x14ac:dyDescent="0.3">
      <c r="A63" s="10">
        <v>19</v>
      </c>
      <c r="B63" s="10" t="s">
        <v>34</v>
      </c>
      <c r="C63" s="10" t="s">
        <v>46</v>
      </c>
      <c r="D63" s="10" t="s">
        <v>72</v>
      </c>
      <c r="E63" s="10" t="s">
        <v>190</v>
      </c>
      <c r="F63" s="10" t="e" vm="19">
        <v>#VALUE!</v>
      </c>
      <c r="G63" s="10" t="s">
        <v>38</v>
      </c>
      <c r="H63" s="10" t="s">
        <v>48</v>
      </c>
      <c r="I63" s="10" t="s">
        <v>115</v>
      </c>
      <c r="J63" s="10" t="s">
        <v>117</v>
      </c>
      <c r="K63" s="2" t="s">
        <v>86</v>
      </c>
      <c r="L63" s="2">
        <v>686</v>
      </c>
      <c r="M63" s="10">
        <v>13757</v>
      </c>
      <c r="N63" s="10" t="s">
        <v>76</v>
      </c>
      <c r="O63" s="13" t="s">
        <v>77</v>
      </c>
      <c r="P63" s="10" t="s">
        <v>78</v>
      </c>
      <c r="Q63" s="12">
        <v>46101</v>
      </c>
      <c r="R63" s="14">
        <v>46101</v>
      </c>
      <c r="S63" s="12">
        <v>46093</v>
      </c>
      <c r="T63" s="5">
        <v>46086</v>
      </c>
      <c r="U63" s="10" t="s">
        <v>96</v>
      </c>
      <c r="V63" s="10"/>
      <c r="W63" s="11" t="s">
        <v>76</v>
      </c>
      <c r="X63" s="2">
        <v>708</v>
      </c>
      <c r="Y63" s="12">
        <v>46104</v>
      </c>
      <c r="Z63" s="14">
        <v>46104</v>
      </c>
      <c r="AA63" s="12">
        <v>46139</v>
      </c>
      <c r="AB63" s="10"/>
      <c r="AC63" s="2"/>
      <c r="AD63" s="12">
        <v>46148</v>
      </c>
      <c r="AE63" s="10"/>
      <c r="AF63" s="10" t="s">
        <v>77</v>
      </c>
      <c r="AG63" s="10"/>
      <c r="AH63" s="10"/>
      <c r="AI63" s="2"/>
      <c r="AJ63" s="2">
        <f t="shared" si="0"/>
        <v>-686</v>
      </c>
      <c r="AK63" s="10" t="s">
        <v>192</v>
      </c>
    </row>
    <row r="64" spans="1:37" ht="18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2" t="s">
        <v>45</v>
      </c>
      <c r="L64" s="2">
        <v>770</v>
      </c>
      <c r="M64" s="10"/>
      <c r="N64" s="10"/>
      <c r="O64" s="13"/>
      <c r="P64" s="10"/>
      <c r="Q64" s="10"/>
      <c r="R64" s="11"/>
      <c r="S64" s="10"/>
      <c r="T64" s="5">
        <v>46086</v>
      </c>
      <c r="U64" s="10"/>
      <c r="V64" s="10"/>
      <c r="W64" s="11"/>
      <c r="X64" s="2">
        <v>798</v>
      </c>
      <c r="Y64" s="10"/>
      <c r="Z64" s="11"/>
      <c r="AA64" s="10"/>
      <c r="AB64" s="10"/>
      <c r="AC64" s="2"/>
      <c r="AD64" s="10"/>
      <c r="AE64" s="10"/>
      <c r="AF64" s="10"/>
      <c r="AG64" s="10"/>
      <c r="AH64" s="10"/>
      <c r="AI64" s="2"/>
      <c r="AJ64" s="2">
        <f t="shared" si="0"/>
        <v>-770</v>
      </c>
      <c r="AK64" s="10"/>
    </row>
    <row r="65" spans="1:37" ht="18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2" t="s">
        <v>109</v>
      </c>
      <c r="L65" s="2">
        <v>2651</v>
      </c>
      <c r="M65" s="10"/>
      <c r="N65" s="10"/>
      <c r="O65" s="13"/>
      <c r="P65" s="10"/>
      <c r="Q65" s="10"/>
      <c r="R65" s="11"/>
      <c r="S65" s="10"/>
      <c r="T65" s="5">
        <v>46086</v>
      </c>
      <c r="U65" s="10"/>
      <c r="V65" s="10"/>
      <c r="W65" s="11"/>
      <c r="X65" s="2">
        <v>2710</v>
      </c>
      <c r="Y65" s="10"/>
      <c r="Z65" s="11"/>
      <c r="AA65" s="10"/>
      <c r="AB65" s="10"/>
      <c r="AC65" s="2"/>
      <c r="AD65" s="10"/>
      <c r="AE65" s="10"/>
      <c r="AF65" s="10"/>
      <c r="AG65" s="10"/>
      <c r="AH65" s="10"/>
      <c r="AI65" s="2"/>
      <c r="AJ65" s="2">
        <f t="shared" si="0"/>
        <v>-2651</v>
      </c>
      <c r="AK65" s="10"/>
    </row>
    <row r="66" spans="1:37" ht="18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2" t="s">
        <v>118</v>
      </c>
      <c r="L66" s="2">
        <v>1078</v>
      </c>
      <c r="M66" s="10"/>
      <c r="N66" s="10"/>
      <c r="O66" s="13"/>
      <c r="P66" s="10"/>
      <c r="Q66" s="10"/>
      <c r="R66" s="11"/>
      <c r="S66" s="10"/>
      <c r="T66" s="5">
        <v>46093</v>
      </c>
      <c r="U66" s="10"/>
      <c r="V66" s="10"/>
      <c r="W66" s="11"/>
      <c r="X66" s="2">
        <v>1108</v>
      </c>
      <c r="Y66" s="10"/>
      <c r="Z66" s="11"/>
      <c r="AA66" s="10"/>
      <c r="AB66" s="10"/>
      <c r="AC66" s="2"/>
      <c r="AD66" s="10"/>
      <c r="AE66" s="10"/>
      <c r="AF66" s="10"/>
      <c r="AG66" s="10"/>
      <c r="AH66" s="10"/>
      <c r="AI66" s="2"/>
      <c r="AJ66" s="2">
        <f t="shared" si="0"/>
        <v>-1078</v>
      </c>
      <c r="AK66" s="10"/>
    </row>
    <row r="67" spans="1:37" ht="18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2" t="s">
        <v>88</v>
      </c>
      <c r="L67" s="2">
        <v>4976</v>
      </c>
      <c r="M67" s="10"/>
      <c r="N67" s="10"/>
      <c r="O67" s="13"/>
      <c r="P67" s="10"/>
      <c r="Q67" s="10"/>
      <c r="R67" s="11"/>
      <c r="S67" s="10"/>
      <c r="T67" s="5">
        <v>46088</v>
      </c>
      <c r="U67" s="10"/>
      <c r="V67" s="10"/>
      <c r="W67" s="11"/>
      <c r="X67" s="2">
        <v>3000</v>
      </c>
      <c r="Y67" s="10"/>
      <c r="Z67" s="11"/>
      <c r="AA67" s="10"/>
      <c r="AB67" s="10"/>
      <c r="AC67" s="2"/>
      <c r="AD67" s="10"/>
      <c r="AE67" s="10"/>
      <c r="AF67" s="10"/>
      <c r="AG67" s="10"/>
      <c r="AH67" s="10"/>
      <c r="AI67" s="2"/>
      <c r="AJ67" s="2">
        <f t="shared" si="0"/>
        <v>-4976</v>
      </c>
      <c r="AK67" s="10"/>
    </row>
    <row r="68" spans="1:37" ht="18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2" t="s">
        <v>89</v>
      </c>
      <c r="L68" s="2">
        <v>2906</v>
      </c>
      <c r="M68" s="10"/>
      <c r="N68" s="10"/>
      <c r="O68" s="13"/>
      <c r="P68" s="10"/>
      <c r="Q68" s="10"/>
      <c r="R68" s="11"/>
      <c r="S68" s="10"/>
      <c r="T68" s="5">
        <v>46087</v>
      </c>
      <c r="U68" s="10"/>
      <c r="V68" s="10"/>
      <c r="W68" s="11"/>
      <c r="X68" s="2">
        <v>3180</v>
      </c>
      <c r="Y68" s="10"/>
      <c r="Z68" s="11"/>
      <c r="AA68" s="10"/>
      <c r="AB68" s="10"/>
      <c r="AC68" s="2"/>
      <c r="AD68" s="10"/>
      <c r="AE68" s="10"/>
      <c r="AF68" s="10"/>
      <c r="AG68" s="10"/>
      <c r="AH68" s="10"/>
      <c r="AI68" s="2"/>
      <c r="AJ68" s="2">
        <f t="shared" ref="AJ68:AJ125" si="1">AI68-L68</f>
        <v>-2906</v>
      </c>
      <c r="AK68" s="10"/>
    </row>
    <row r="69" spans="1:37" ht="18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2" t="s">
        <v>105</v>
      </c>
      <c r="L69" s="2">
        <v>690</v>
      </c>
      <c r="M69" s="10"/>
      <c r="N69" s="10"/>
      <c r="O69" s="13"/>
      <c r="P69" s="10"/>
      <c r="Q69" s="10"/>
      <c r="R69" s="11"/>
      <c r="S69" s="10"/>
      <c r="T69" s="5">
        <v>46095</v>
      </c>
      <c r="U69" s="10"/>
      <c r="V69" s="10"/>
      <c r="W69" s="11"/>
      <c r="X69" s="2">
        <v>748</v>
      </c>
      <c r="Y69" s="10"/>
      <c r="Z69" s="11"/>
      <c r="AA69" s="10"/>
      <c r="AB69" s="10"/>
      <c r="AC69" s="2"/>
      <c r="AD69" s="10"/>
      <c r="AE69" s="10"/>
      <c r="AF69" s="10"/>
      <c r="AG69" s="10"/>
      <c r="AH69" s="10"/>
      <c r="AI69" s="2"/>
      <c r="AJ69" s="2">
        <f t="shared" si="1"/>
        <v>-690</v>
      </c>
      <c r="AK69" s="10"/>
    </row>
    <row r="70" spans="1:37" ht="19.95" customHeight="1" x14ac:dyDescent="0.3">
      <c r="A70" s="10">
        <v>20</v>
      </c>
      <c r="B70" s="10" t="s">
        <v>34</v>
      </c>
      <c r="C70" s="10" t="s">
        <v>46</v>
      </c>
      <c r="D70" s="10" t="s">
        <v>72</v>
      </c>
      <c r="E70" s="10" t="s">
        <v>127</v>
      </c>
      <c r="F70" s="10" t="e" vm="20">
        <v>#VALUE!</v>
      </c>
      <c r="G70" s="10" t="s">
        <v>38</v>
      </c>
      <c r="H70" s="10" t="s">
        <v>61</v>
      </c>
      <c r="I70" s="10" t="s">
        <v>62</v>
      </c>
      <c r="J70" s="10" t="s">
        <v>128</v>
      </c>
      <c r="K70" s="2" t="s">
        <v>129</v>
      </c>
      <c r="L70" s="2">
        <v>4144</v>
      </c>
      <c r="M70" s="10">
        <v>24864</v>
      </c>
      <c r="N70" s="10" t="s">
        <v>130</v>
      </c>
      <c r="O70" s="13" t="s">
        <v>77</v>
      </c>
      <c r="P70" s="10" t="s">
        <v>78</v>
      </c>
      <c r="Q70" s="12">
        <v>46101</v>
      </c>
      <c r="R70" s="14">
        <v>46101</v>
      </c>
      <c r="S70" s="12">
        <v>46104</v>
      </c>
      <c r="T70" s="5">
        <v>46095</v>
      </c>
      <c r="U70" s="10" t="s">
        <v>96</v>
      </c>
      <c r="V70" s="10"/>
      <c r="W70" s="11" t="s">
        <v>130</v>
      </c>
      <c r="X70" s="2">
        <v>4372</v>
      </c>
      <c r="Y70" s="12">
        <v>46106</v>
      </c>
      <c r="Z70" s="14">
        <v>46106</v>
      </c>
      <c r="AA70" s="12">
        <v>46135</v>
      </c>
      <c r="AB70" s="10"/>
      <c r="AC70" s="2"/>
      <c r="AD70" s="12">
        <v>46142</v>
      </c>
      <c r="AE70" s="10"/>
      <c r="AF70" s="10" t="s">
        <v>77</v>
      </c>
      <c r="AG70" s="10"/>
      <c r="AH70" s="10"/>
      <c r="AI70" s="2"/>
      <c r="AJ70" s="2">
        <f t="shared" si="1"/>
        <v>-4144</v>
      </c>
      <c r="AK70" s="10" t="s">
        <v>192</v>
      </c>
    </row>
    <row r="71" spans="1:37" ht="19.9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2" t="s">
        <v>131</v>
      </c>
      <c r="L71" s="2">
        <v>8509</v>
      </c>
      <c r="M71" s="10"/>
      <c r="N71" s="10"/>
      <c r="O71" s="13"/>
      <c r="P71" s="10"/>
      <c r="Q71" s="10"/>
      <c r="R71" s="11"/>
      <c r="S71" s="10"/>
      <c r="T71" s="5">
        <v>46093</v>
      </c>
      <c r="U71" s="10"/>
      <c r="V71" s="10"/>
      <c r="W71" s="11"/>
      <c r="X71" s="2">
        <v>6000</v>
      </c>
      <c r="Y71" s="10"/>
      <c r="Z71" s="11"/>
      <c r="AA71" s="10"/>
      <c r="AB71" s="10"/>
      <c r="AC71" s="2"/>
      <c r="AD71" s="10"/>
      <c r="AE71" s="10"/>
      <c r="AF71" s="10"/>
      <c r="AG71" s="10"/>
      <c r="AH71" s="10"/>
      <c r="AI71" s="2"/>
      <c r="AJ71" s="2">
        <f t="shared" si="1"/>
        <v>-8509</v>
      </c>
      <c r="AK71" s="10"/>
    </row>
    <row r="72" spans="1:37" ht="19.9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2" t="s">
        <v>132</v>
      </c>
      <c r="L72" s="2">
        <v>642</v>
      </c>
      <c r="M72" s="10"/>
      <c r="N72" s="10"/>
      <c r="O72" s="13"/>
      <c r="P72" s="10"/>
      <c r="Q72" s="10"/>
      <c r="R72" s="11"/>
      <c r="S72" s="10"/>
      <c r="T72" s="5">
        <v>46097</v>
      </c>
      <c r="U72" s="10"/>
      <c r="V72" s="10"/>
      <c r="W72" s="11"/>
      <c r="X72" s="2">
        <v>672</v>
      </c>
      <c r="Y72" s="10"/>
      <c r="Z72" s="11"/>
      <c r="AA72" s="10"/>
      <c r="AB72" s="10"/>
      <c r="AC72" s="2"/>
      <c r="AD72" s="10"/>
      <c r="AE72" s="10"/>
      <c r="AF72" s="10"/>
      <c r="AG72" s="10"/>
      <c r="AH72" s="10"/>
      <c r="AI72" s="2"/>
      <c r="AJ72" s="2">
        <f t="shared" si="1"/>
        <v>-642</v>
      </c>
      <c r="AK72" s="10"/>
    </row>
    <row r="73" spans="1:37" ht="19.9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2" t="s">
        <v>81</v>
      </c>
      <c r="L73" s="2">
        <v>4200</v>
      </c>
      <c r="M73" s="10"/>
      <c r="N73" s="10"/>
      <c r="O73" s="13"/>
      <c r="P73" s="10"/>
      <c r="Q73" s="10"/>
      <c r="R73" s="11"/>
      <c r="S73" s="10"/>
      <c r="T73" s="5">
        <v>46097</v>
      </c>
      <c r="U73" s="10"/>
      <c r="V73" s="10"/>
      <c r="W73" s="11"/>
      <c r="X73" s="2">
        <v>2800</v>
      </c>
      <c r="Y73" s="10"/>
      <c r="Z73" s="11"/>
      <c r="AA73" s="10"/>
      <c r="AB73" s="10"/>
      <c r="AC73" s="2"/>
      <c r="AD73" s="10"/>
      <c r="AE73" s="10"/>
      <c r="AF73" s="10"/>
      <c r="AG73" s="10"/>
      <c r="AH73" s="10"/>
      <c r="AI73" s="2"/>
      <c r="AJ73" s="2">
        <f t="shared" si="1"/>
        <v>-4200</v>
      </c>
      <c r="AK73" s="10"/>
    </row>
    <row r="74" spans="1:37" ht="19.9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2" t="s">
        <v>82</v>
      </c>
      <c r="L74" s="2">
        <v>5158</v>
      </c>
      <c r="M74" s="10"/>
      <c r="N74" s="10"/>
      <c r="O74" s="13"/>
      <c r="P74" s="10"/>
      <c r="Q74" s="10"/>
      <c r="R74" s="11"/>
      <c r="S74" s="10"/>
      <c r="T74" s="5">
        <v>46101</v>
      </c>
      <c r="U74" s="10"/>
      <c r="V74" s="10"/>
      <c r="W74" s="11"/>
      <c r="X74" s="2"/>
      <c r="Y74" s="10"/>
      <c r="Z74" s="11"/>
      <c r="AA74" s="10"/>
      <c r="AB74" s="10"/>
      <c r="AC74" s="2"/>
      <c r="AD74" s="10"/>
      <c r="AE74" s="10"/>
      <c r="AF74" s="10"/>
      <c r="AG74" s="10"/>
      <c r="AH74" s="10"/>
      <c r="AI74" s="2"/>
      <c r="AJ74" s="2">
        <f t="shared" si="1"/>
        <v>-5158</v>
      </c>
      <c r="AK74" s="10"/>
    </row>
    <row r="75" spans="1:37" ht="19.9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2" t="s">
        <v>133</v>
      </c>
      <c r="L75" s="2">
        <v>2211</v>
      </c>
      <c r="M75" s="10"/>
      <c r="N75" s="10"/>
      <c r="O75" s="13"/>
      <c r="P75" s="10"/>
      <c r="Q75" s="10"/>
      <c r="R75" s="11"/>
      <c r="S75" s="10"/>
      <c r="T75" s="5">
        <v>46108</v>
      </c>
      <c r="U75" s="10"/>
      <c r="V75" s="10"/>
      <c r="W75" s="11"/>
      <c r="X75" s="2">
        <v>2380</v>
      </c>
      <c r="Y75" s="10"/>
      <c r="Z75" s="11"/>
      <c r="AA75" s="10"/>
      <c r="AB75" s="10"/>
      <c r="AC75" s="2"/>
      <c r="AD75" s="10"/>
      <c r="AE75" s="10"/>
      <c r="AF75" s="10"/>
      <c r="AG75" s="10"/>
      <c r="AH75" s="10"/>
      <c r="AI75" s="2"/>
      <c r="AJ75" s="2">
        <f t="shared" si="1"/>
        <v>-2211</v>
      </c>
      <c r="AK75" s="10"/>
    </row>
    <row r="76" spans="1:37" ht="18" customHeight="1" x14ac:dyDescent="0.3">
      <c r="A76" s="10">
        <v>21</v>
      </c>
      <c r="B76" s="10" t="s">
        <v>34</v>
      </c>
      <c r="C76" s="10" t="s">
        <v>46</v>
      </c>
      <c r="D76" s="10" t="s">
        <v>134</v>
      </c>
      <c r="E76" s="10" t="s">
        <v>178</v>
      </c>
      <c r="F76" s="10" t="e" vm="21">
        <v>#VALUE!</v>
      </c>
      <c r="G76" s="10" t="s">
        <v>38</v>
      </c>
      <c r="H76" s="10" t="s">
        <v>61</v>
      </c>
      <c r="I76" s="10" t="s">
        <v>62</v>
      </c>
      <c r="J76" s="10" t="s">
        <v>179</v>
      </c>
      <c r="K76" s="2" t="s">
        <v>180</v>
      </c>
      <c r="L76" s="2">
        <v>10844</v>
      </c>
      <c r="M76" s="10">
        <v>23624</v>
      </c>
      <c r="N76" s="10" t="s">
        <v>130</v>
      </c>
      <c r="O76" s="13" t="s">
        <v>139</v>
      </c>
      <c r="P76" s="10" t="s">
        <v>97</v>
      </c>
      <c r="Q76" s="12">
        <v>46101</v>
      </c>
      <c r="R76" s="14">
        <v>46101</v>
      </c>
      <c r="S76" s="12">
        <v>46134</v>
      </c>
      <c r="T76" s="4"/>
      <c r="U76" s="10" t="s">
        <v>175</v>
      </c>
      <c r="V76" s="10"/>
      <c r="W76" s="11" t="s">
        <v>130</v>
      </c>
      <c r="X76" s="2"/>
      <c r="Y76" s="12">
        <v>46147</v>
      </c>
      <c r="Z76" s="10"/>
      <c r="AA76" s="12">
        <v>46162</v>
      </c>
      <c r="AB76" s="10"/>
      <c r="AC76" s="2"/>
      <c r="AD76" s="12">
        <v>46166</v>
      </c>
      <c r="AE76" s="10"/>
      <c r="AF76" s="10" t="s">
        <v>139</v>
      </c>
      <c r="AG76" s="10"/>
      <c r="AH76" s="10"/>
      <c r="AI76" s="2"/>
      <c r="AJ76" s="2">
        <f t="shared" si="1"/>
        <v>-10844</v>
      </c>
      <c r="AK76" s="10" t="s">
        <v>191</v>
      </c>
    </row>
    <row r="77" spans="1:37" ht="18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2" t="s">
        <v>189</v>
      </c>
      <c r="L77" s="2">
        <v>687</v>
      </c>
      <c r="M77" s="10"/>
      <c r="N77" s="10"/>
      <c r="O77" s="13"/>
      <c r="P77" s="10"/>
      <c r="Q77" s="10"/>
      <c r="R77" s="11"/>
      <c r="S77" s="10"/>
      <c r="T77" s="15">
        <v>46132</v>
      </c>
      <c r="U77" s="10"/>
      <c r="V77" s="10"/>
      <c r="W77" s="11"/>
      <c r="X77" s="2"/>
      <c r="Y77" s="10"/>
      <c r="Z77" s="10"/>
      <c r="AA77" s="10"/>
      <c r="AB77" s="10"/>
      <c r="AC77" s="2"/>
      <c r="AD77" s="10"/>
      <c r="AE77" s="10"/>
      <c r="AF77" s="10"/>
      <c r="AG77" s="10"/>
      <c r="AH77" s="10"/>
      <c r="AI77" s="2"/>
      <c r="AJ77" s="2">
        <f t="shared" si="1"/>
        <v>-687</v>
      </c>
      <c r="AK77" s="10"/>
    </row>
    <row r="78" spans="1:37" ht="18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2" t="s">
        <v>181</v>
      </c>
      <c r="L78" s="2">
        <v>567</v>
      </c>
      <c r="M78" s="10"/>
      <c r="N78" s="10"/>
      <c r="O78" s="13"/>
      <c r="P78" s="10"/>
      <c r="Q78" s="10"/>
      <c r="R78" s="11"/>
      <c r="S78" s="10"/>
      <c r="T78" s="16"/>
      <c r="U78" s="10"/>
      <c r="V78" s="10"/>
      <c r="W78" s="11"/>
      <c r="X78" s="2"/>
      <c r="Y78" s="10"/>
      <c r="Z78" s="10"/>
      <c r="AA78" s="10"/>
      <c r="AB78" s="10"/>
      <c r="AC78" s="2"/>
      <c r="AD78" s="10"/>
      <c r="AE78" s="10"/>
      <c r="AF78" s="10"/>
      <c r="AG78" s="10"/>
      <c r="AH78" s="10"/>
      <c r="AI78" s="2"/>
      <c r="AJ78" s="2">
        <f t="shared" si="1"/>
        <v>-567</v>
      </c>
      <c r="AK78" s="10"/>
    </row>
    <row r="79" spans="1:37" ht="18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2" t="s">
        <v>182</v>
      </c>
      <c r="L79" s="2">
        <v>3972</v>
      </c>
      <c r="M79" s="10"/>
      <c r="N79" s="10"/>
      <c r="O79" s="13"/>
      <c r="P79" s="10"/>
      <c r="Q79" s="10"/>
      <c r="R79" s="11"/>
      <c r="S79" s="10"/>
      <c r="T79" s="16"/>
      <c r="U79" s="10"/>
      <c r="V79" s="10"/>
      <c r="W79" s="11"/>
      <c r="X79" s="2"/>
      <c r="Y79" s="10"/>
      <c r="Z79" s="10"/>
      <c r="AA79" s="10"/>
      <c r="AB79" s="10"/>
      <c r="AC79" s="2"/>
      <c r="AD79" s="10"/>
      <c r="AE79" s="10"/>
      <c r="AF79" s="10"/>
      <c r="AG79" s="10"/>
      <c r="AH79" s="10"/>
      <c r="AI79" s="2"/>
      <c r="AJ79" s="2">
        <f t="shared" si="1"/>
        <v>-3972</v>
      </c>
      <c r="AK79" s="10"/>
    </row>
    <row r="80" spans="1:37" ht="18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2" t="s">
        <v>183</v>
      </c>
      <c r="L80" s="2">
        <v>3982</v>
      </c>
      <c r="M80" s="10"/>
      <c r="N80" s="10"/>
      <c r="O80" s="13"/>
      <c r="P80" s="10"/>
      <c r="Q80" s="10"/>
      <c r="R80" s="11"/>
      <c r="S80" s="10"/>
      <c r="T80" s="16"/>
      <c r="U80" s="10"/>
      <c r="V80" s="10"/>
      <c r="W80" s="11"/>
      <c r="X80" s="2"/>
      <c r="Y80" s="10"/>
      <c r="Z80" s="10"/>
      <c r="AA80" s="10"/>
      <c r="AB80" s="10"/>
      <c r="AC80" s="2"/>
      <c r="AD80" s="10"/>
      <c r="AE80" s="10"/>
      <c r="AF80" s="10"/>
      <c r="AG80" s="10"/>
      <c r="AH80" s="10"/>
      <c r="AI80" s="2"/>
      <c r="AJ80" s="2">
        <f t="shared" si="1"/>
        <v>-3982</v>
      </c>
      <c r="AK80" s="10"/>
    </row>
    <row r="81" spans="1:37" ht="18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2" t="s">
        <v>184</v>
      </c>
      <c r="L81" s="2">
        <v>3025</v>
      </c>
      <c r="M81" s="10"/>
      <c r="N81" s="10"/>
      <c r="O81" s="13"/>
      <c r="P81" s="10"/>
      <c r="Q81" s="10"/>
      <c r="R81" s="11"/>
      <c r="S81" s="10"/>
      <c r="T81" s="16"/>
      <c r="U81" s="10"/>
      <c r="V81" s="10"/>
      <c r="W81" s="11"/>
      <c r="X81" s="2"/>
      <c r="Y81" s="10"/>
      <c r="Z81" s="10"/>
      <c r="AA81" s="10"/>
      <c r="AB81" s="10"/>
      <c r="AC81" s="2"/>
      <c r="AD81" s="10"/>
      <c r="AE81" s="10"/>
      <c r="AF81" s="10"/>
      <c r="AG81" s="10"/>
      <c r="AH81" s="10"/>
      <c r="AI81" s="2"/>
      <c r="AJ81" s="2">
        <f t="shared" si="1"/>
        <v>-3025</v>
      </c>
      <c r="AK81" s="10"/>
    </row>
    <row r="82" spans="1:37" ht="18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2" t="s">
        <v>188</v>
      </c>
      <c r="L82" s="2">
        <v>547</v>
      </c>
      <c r="M82" s="10"/>
      <c r="N82" s="10"/>
      <c r="O82" s="13"/>
      <c r="P82" s="10"/>
      <c r="Q82" s="10"/>
      <c r="R82" s="11"/>
      <c r="S82" s="10"/>
      <c r="T82" s="17"/>
      <c r="U82" s="10"/>
      <c r="V82" s="10"/>
      <c r="W82" s="11"/>
      <c r="X82" s="2"/>
      <c r="Y82" s="10"/>
      <c r="Z82" s="10"/>
      <c r="AA82" s="10"/>
      <c r="AB82" s="10"/>
      <c r="AC82" s="2"/>
      <c r="AD82" s="10"/>
      <c r="AE82" s="10"/>
      <c r="AF82" s="10"/>
      <c r="AG82" s="10"/>
      <c r="AH82" s="10"/>
      <c r="AI82" s="2"/>
      <c r="AJ82" s="2">
        <f t="shared" si="1"/>
        <v>-547</v>
      </c>
      <c r="AK82" s="10"/>
    </row>
    <row r="83" spans="1:37" ht="18" customHeight="1" x14ac:dyDescent="0.3">
      <c r="A83" s="10">
        <v>22</v>
      </c>
      <c r="B83" s="10" t="s">
        <v>34</v>
      </c>
      <c r="C83" s="10" t="s">
        <v>46</v>
      </c>
      <c r="D83" s="10" t="s">
        <v>134</v>
      </c>
      <c r="E83" s="10" t="s">
        <v>185</v>
      </c>
      <c r="F83" s="10" t="e" vm="20">
        <v>#VALUE!</v>
      </c>
      <c r="G83" s="10" t="s">
        <v>186</v>
      </c>
      <c r="H83" s="10" t="s">
        <v>61</v>
      </c>
      <c r="I83" s="10" t="s">
        <v>62</v>
      </c>
      <c r="J83" s="10" t="s">
        <v>187</v>
      </c>
      <c r="K83" s="2" t="s">
        <v>180</v>
      </c>
      <c r="L83" s="2">
        <v>1040</v>
      </c>
      <c r="M83" s="10">
        <v>3299</v>
      </c>
      <c r="N83" s="10" t="s">
        <v>130</v>
      </c>
      <c r="O83" s="13" t="s">
        <v>139</v>
      </c>
      <c r="P83" s="10" t="s">
        <v>97</v>
      </c>
      <c r="Q83" s="12">
        <v>46101</v>
      </c>
      <c r="R83" s="14">
        <v>46101</v>
      </c>
      <c r="S83" s="12">
        <v>46132</v>
      </c>
      <c r="T83" s="14">
        <v>46132</v>
      </c>
      <c r="U83" s="10" t="s">
        <v>175</v>
      </c>
      <c r="V83" s="10"/>
      <c r="W83" s="11" t="s">
        <v>130</v>
      </c>
      <c r="X83" s="2"/>
      <c r="Y83" s="12">
        <v>46144</v>
      </c>
      <c r="Z83" s="10"/>
      <c r="AA83" s="12">
        <v>46149</v>
      </c>
      <c r="AB83" s="10"/>
      <c r="AC83" s="2"/>
      <c r="AD83" s="12">
        <v>46162</v>
      </c>
      <c r="AE83" s="10"/>
      <c r="AF83" s="10" t="s">
        <v>139</v>
      </c>
      <c r="AG83" s="10"/>
      <c r="AH83" s="10"/>
      <c r="AI83" s="2"/>
      <c r="AJ83" s="2">
        <f t="shared" si="1"/>
        <v>-1040</v>
      </c>
      <c r="AK83" s="10" t="s">
        <v>191</v>
      </c>
    </row>
    <row r="84" spans="1:37" ht="18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2" t="s">
        <v>189</v>
      </c>
      <c r="L84" s="2">
        <v>573</v>
      </c>
      <c r="M84" s="10"/>
      <c r="N84" s="10"/>
      <c r="O84" s="13"/>
      <c r="P84" s="10"/>
      <c r="Q84" s="10"/>
      <c r="R84" s="11"/>
      <c r="S84" s="10"/>
      <c r="T84" s="11"/>
      <c r="U84" s="10"/>
      <c r="V84" s="10"/>
      <c r="W84" s="11"/>
      <c r="X84" s="2"/>
      <c r="Y84" s="10"/>
      <c r="Z84" s="10"/>
      <c r="AA84" s="10"/>
      <c r="AB84" s="10"/>
      <c r="AC84" s="2"/>
      <c r="AD84" s="10"/>
      <c r="AE84" s="10"/>
      <c r="AF84" s="10"/>
      <c r="AG84" s="10"/>
      <c r="AH84" s="10"/>
      <c r="AI84" s="2"/>
      <c r="AJ84" s="2">
        <f t="shared" si="1"/>
        <v>-573</v>
      </c>
      <c r="AK84" s="10"/>
    </row>
    <row r="85" spans="1:37" ht="18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2" t="s">
        <v>181</v>
      </c>
      <c r="L85" s="2">
        <v>123</v>
      </c>
      <c r="M85" s="10"/>
      <c r="N85" s="10"/>
      <c r="O85" s="13"/>
      <c r="P85" s="10"/>
      <c r="Q85" s="10"/>
      <c r="R85" s="11"/>
      <c r="S85" s="10"/>
      <c r="T85" s="11"/>
      <c r="U85" s="10"/>
      <c r="V85" s="10"/>
      <c r="W85" s="11"/>
      <c r="X85" s="2"/>
      <c r="Y85" s="10"/>
      <c r="Z85" s="10"/>
      <c r="AA85" s="10"/>
      <c r="AB85" s="10"/>
      <c r="AC85" s="2"/>
      <c r="AD85" s="10"/>
      <c r="AE85" s="10"/>
      <c r="AF85" s="10"/>
      <c r="AG85" s="10"/>
      <c r="AH85" s="10"/>
      <c r="AI85" s="2"/>
      <c r="AJ85" s="2">
        <f t="shared" si="1"/>
        <v>-123</v>
      </c>
      <c r="AK85" s="10"/>
    </row>
    <row r="86" spans="1:37" ht="18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2" t="s">
        <v>188</v>
      </c>
      <c r="L86" s="2">
        <v>459</v>
      </c>
      <c r="M86" s="10"/>
      <c r="N86" s="10"/>
      <c r="O86" s="13"/>
      <c r="P86" s="10"/>
      <c r="Q86" s="10"/>
      <c r="R86" s="11"/>
      <c r="S86" s="10"/>
      <c r="T86" s="11"/>
      <c r="U86" s="10"/>
      <c r="V86" s="10"/>
      <c r="W86" s="11"/>
      <c r="X86" s="2"/>
      <c r="Y86" s="10"/>
      <c r="Z86" s="10"/>
      <c r="AA86" s="10"/>
      <c r="AB86" s="10"/>
      <c r="AC86" s="2"/>
      <c r="AD86" s="10"/>
      <c r="AE86" s="10"/>
      <c r="AF86" s="10"/>
      <c r="AG86" s="10"/>
      <c r="AH86" s="10"/>
      <c r="AI86" s="2"/>
      <c r="AJ86" s="2">
        <f t="shared" si="1"/>
        <v>-459</v>
      </c>
      <c r="AK86" s="10"/>
    </row>
    <row r="87" spans="1:37" ht="18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2" t="s">
        <v>182</v>
      </c>
      <c r="L87" s="2">
        <v>70</v>
      </c>
      <c r="M87" s="10"/>
      <c r="N87" s="10"/>
      <c r="O87" s="13"/>
      <c r="P87" s="10"/>
      <c r="Q87" s="10"/>
      <c r="R87" s="11"/>
      <c r="S87" s="10"/>
      <c r="T87" s="11"/>
      <c r="U87" s="10"/>
      <c r="V87" s="10"/>
      <c r="W87" s="11"/>
      <c r="X87" s="2"/>
      <c r="Y87" s="10"/>
      <c r="Z87" s="10"/>
      <c r="AA87" s="10"/>
      <c r="AB87" s="10"/>
      <c r="AC87" s="2"/>
      <c r="AD87" s="10"/>
      <c r="AE87" s="10"/>
      <c r="AF87" s="10"/>
      <c r="AG87" s="10"/>
      <c r="AH87" s="10"/>
      <c r="AI87" s="2"/>
      <c r="AJ87" s="2">
        <f t="shared" si="1"/>
        <v>-70</v>
      </c>
      <c r="AK87" s="10"/>
    </row>
    <row r="88" spans="1:37" ht="18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2" t="s">
        <v>183</v>
      </c>
      <c r="L88" s="2">
        <v>681</v>
      </c>
      <c r="M88" s="10"/>
      <c r="N88" s="10"/>
      <c r="O88" s="13"/>
      <c r="P88" s="10"/>
      <c r="Q88" s="10"/>
      <c r="R88" s="11"/>
      <c r="S88" s="10"/>
      <c r="T88" s="11"/>
      <c r="U88" s="10"/>
      <c r="V88" s="10"/>
      <c r="W88" s="11"/>
      <c r="X88" s="2"/>
      <c r="Y88" s="10"/>
      <c r="Z88" s="10"/>
      <c r="AA88" s="10"/>
      <c r="AB88" s="10"/>
      <c r="AC88" s="2"/>
      <c r="AD88" s="10"/>
      <c r="AE88" s="10"/>
      <c r="AF88" s="10"/>
      <c r="AG88" s="10"/>
      <c r="AH88" s="10"/>
      <c r="AI88" s="2"/>
      <c r="AJ88" s="2">
        <f t="shared" si="1"/>
        <v>-681</v>
      </c>
      <c r="AK88" s="10"/>
    </row>
    <row r="89" spans="1:37" ht="18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2" t="s">
        <v>184</v>
      </c>
      <c r="L89" s="2">
        <v>353</v>
      </c>
      <c r="M89" s="10"/>
      <c r="N89" s="10"/>
      <c r="O89" s="13"/>
      <c r="P89" s="10"/>
      <c r="Q89" s="10"/>
      <c r="R89" s="11"/>
      <c r="S89" s="10"/>
      <c r="T89" s="11"/>
      <c r="U89" s="10"/>
      <c r="V89" s="10"/>
      <c r="W89" s="11"/>
      <c r="X89" s="2"/>
      <c r="Y89" s="10"/>
      <c r="Z89" s="10"/>
      <c r="AA89" s="10"/>
      <c r="AB89" s="10"/>
      <c r="AC89" s="2"/>
      <c r="AD89" s="10"/>
      <c r="AE89" s="10"/>
      <c r="AF89" s="10"/>
      <c r="AG89" s="10"/>
      <c r="AH89" s="10"/>
      <c r="AI89" s="2"/>
      <c r="AJ89" s="2">
        <f t="shared" si="1"/>
        <v>-353</v>
      </c>
      <c r="AK89" s="10"/>
    </row>
    <row r="90" spans="1:37" ht="19.95" customHeight="1" x14ac:dyDescent="0.3">
      <c r="A90" s="10">
        <v>23</v>
      </c>
      <c r="B90" s="10" t="s">
        <v>34</v>
      </c>
      <c r="C90" s="10" t="s">
        <v>46</v>
      </c>
      <c r="D90" s="10" t="s">
        <v>134</v>
      </c>
      <c r="E90" s="10" t="s">
        <v>173</v>
      </c>
      <c r="F90" s="10" t="e" vm="22">
        <v>#VALUE!</v>
      </c>
      <c r="G90" s="10" t="s">
        <v>38</v>
      </c>
      <c r="H90" s="10" t="s">
        <v>48</v>
      </c>
      <c r="I90" s="10" t="s">
        <v>40</v>
      </c>
      <c r="J90" s="10" t="s">
        <v>174</v>
      </c>
      <c r="K90" s="2" t="s">
        <v>138</v>
      </c>
      <c r="L90" s="2">
        <v>10833</v>
      </c>
      <c r="M90" s="10">
        <v>27072</v>
      </c>
      <c r="N90" s="10" t="s">
        <v>130</v>
      </c>
      <c r="O90" s="13" t="s">
        <v>139</v>
      </c>
      <c r="P90" s="10" t="s">
        <v>97</v>
      </c>
      <c r="Q90" s="12">
        <v>46101</v>
      </c>
      <c r="R90" s="14">
        <v>46101</v>
      </c>
      <c r="S90" s="12">
        <v>46134</v>
      </c>
      <c r="T90" s="5">
        <v>46128</v>
      </c>
      <c r="U90" s="10" t="s">
        <v>175</v>
      </c>
      <c r="V90" s="10"/>
      <c r="W90" s="11" t="s">
        <v>130</v>
      </c>
      <c r="X90" s="2"/>
      <c r="Y90" s="12">
        <v>46146</v>
      </c>
      <c r="Z90" s="10"/>
      <c r="AA90" s="12">
        <v>46168</v>
      </c>
      <c r="AB90" s="10"/>
      <c r="AC90" s="2"/>
      <c r="AD90" s="12">
        <v>46172</v>
      </c>
      <c r="AE90" s="10"/>
      <c r="AF90" s="10" t="s">
        <v>139</v>
      </c>
      <c r="AG90" s="10"/>
      <c r="AH90" s="10"/>
      <c r="AI90" s="2"/>
      <c r="AJ90" s="2">
        <f t="shared" si="1"/>
        <v>-10833</v>
      </c>
      <c r="AK90" s="10" t="s">
        <v>195</v>
      </c>
    </row>
    <row r="91" spans="1:37" ht="19.9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2" t="s">
        <v>167</v>
      </c>
      <c r="L91" s="2">
        <v>4734</v>
      </c>
      <c r="M91" s="10"/>
      <c r="N91" s="10"/>
      <c r="O91" s="13"/>
      <c r="P91" s="10"/>
      <c r="Q91" s="10"/>
      <c r="R91" s="11"/>
      <c r="S91" s="10"/>
      <c r="T91" s="5">
        <v>46132</v>
      </c>
      <c r="U91" s="10"/>
      <c r="V91" s="10"/>
      <c r="W91" s="11"/>
      <c r="X91" s="2"/>
      <c r="Y91" s="10"/>
      <c r="Z91" s="10"/>
      <c r="AA91" s="10"/>
      <c r="AB91" s="10"/>
      <c r="AC91" s="2"/>
      <c r="AD91" s="10"/>
      <c r="AE91" s="10"/>
      <c r="AF91" s="10"/>
      <c r="AG91" s="10"/>
      <c r="AH91" s="10"/>
      <c r="AI91" s="2"/>
      <c r="AJ91" s="2">
        <f t="shared" si="1"/>
        <v>-4734</v>
      </c>
      <c r="AK91" s="10"/>
    </row>
    <row r="92" spans="1:37" ht="19.9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2" t="s">
        <v>157</v>
      </c>
      <c r="L92" s="2">
        <v>4560</v>
      </c>
      <c r="M92" s="10"/>
      <c r="N92" s="10"/>
      <c r="O92" s="13"/>
      <c r="P92" s="10"/>
      <c r="Q92" s="10"/>
      <c r="R92" s="11"/>
      <c r="S92" s="10"/>
      <c r="T92" s="2"/>
      <c r="U92" s="10"/>
      <c r="V92" s="10"/>
      <c r="W92" s="11"/>
      <c r="X92" s="2"/>
      <c r="Y92" s="10"/>
      <c r="Z92" s="10"/>
      <c r="AA92" s="10"/>
      <c r="AB92" s="10"/>
      <c r="AC92" s="2"/>
      <c r="AD92" s="10"/>
      <c r="AE92" s="10"/>
      <c r="AF92" s="10"/>
      <c r="AG92" s="10"/>
      <c r="AH92" s="10"/>
      <c r="AI92" s="2"/>
      <c r="AJ92" s="2">
        <f t="shared" si="1"/>
        <v>-4560</v>
      </c>
      <c r="AK92" s="10"/>
    </row>
    <row r="93" spans="1:37" ht="19.9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 t="s">
        <v>163</v>
      </c>
      <c r="L93" s="2">
        <v>1334</v>
      </c>
      <c r="M93" s="10"/>
      <c r="N93" s="10"/>
      <c r="O93" s="13"/>
      <c r="P93" s="10"/>
      <c r="Q93" s="10"/>
      <c r="R93" s="11"/>
      <c r="S93" s="10"/>
      <c r="T93" s="5">
        <v>46109</v>
      </c>
      <c r="U93" s="10"/>
      <c r="V93" s="10"/>
      <c r="W93" s="11"/>
      <c r="X93" s="2"/>
      <c r="Y93" s="10"/>
      <c r="Z93" s="10"/>
      <c r="AA93" s="10"/>
      <c r="AB93" s="10"/>
      <c r="AC93" s="2"/>
      <c r="AD93" s="10"/>
      <c r="AE93" s="10"/>
      <c r="AF93" s="10"/>
      <c r="AG93" s="10"/>
      <c r="AH93" s="10"/>
      <c r="AI93" s="2"/>
      <c r="AJ93" s="2">
        <f t="shared" si="1"/>
        <v>-1334</v>
      </c>
      <c r="AK93" s="10"/>
    </row>
    <row r="94" spans="1:37" ht="19.9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2" t="s">
        <v>164</v>
      </c>
      <c r="L94" s="2">
        <v>2987</v>
      </c>
      <c r="M94" s="10"/>
      <c r="N94" s="10"/>
      <c r="O94" s="13"/>
      <c r="P94" s="10"/>
      <c r="Q94" s="10"/>
      <c r="R94" s="11"/>
      <c r="S94" s="10"/>
      <c r="T94" s="2"/>
      <c r="U94" s="10"/>
      <c r="V94" s="10"/>
      <c r="W94" s="11"/>
      <c r="X94" s="2"/>
      <c r="Y94" s="10"/>
      <c r="Z94" s="10"/>
      <c r="AA94" s="10"/>
      <c r="AB94" s="10"/>
      <c r="AC94" s="2"/>
      <c r="AD94" s="10"/>
      <c r="AE94" s="10"/>
      <c r="AF94" s="10"/>
      <c r="AG94" s="10"/>
      <c r="AH94" s="10"/>
      <c r="AI94" s="2"/>
      <c r="AJ94" s="2">
        <f t="shared" si="1"/>
        <v>-2987</v>
      </c>
      <c r="AK94" s="10"/>
    </row>
    <row r="95" spans="1:37" ht="19.9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2" t="s">
        <v>141</v>
      </c>
      <c r="L95" s="2">
        <v>2624</v>
      </c>
      <c r="M95" s="10"/>
      <c r="N95" s="10"/>
      <c r="O95" s="13"/>
      <c r="P95" s="10"/>
      <c r="Q95" s="10"/>
      <c r="R95" s="11"/>
      <c r="S95" s="10"/>
      <c r="T95" s="5">
        <v>46127</v>
      </c>
      <c r="U95" s="10"/>
      <c r="V95" s="10"/>
      <c r="W95" s="11"/>
      <c r="X95" s="2"/>
      <c r="Y95" s="10"/>
      <c r="Z95" s="10"/>
      <c r="AA95" s="10"/>
      <c r="AB95" s="10"/>
      <c r="AC95" s="2"/>
      <c r="AD95" s="10"/>
      <c r="AE95" s="10"/>
      <c r="AF95" s="10"/>
      <c r="AG95" s="10"/>
      <c r="AH95" s="10"/>
      <c r="AI95" s="2"/>
      <c r="AJ95" s="2">
        <f t="shared" si="1"/>
        <v>-2624</v>
      </c>
      <c r="AK95" s="10"/>
    </row>
    <row r="96" spans="1:37" ht="24" customHeight="1" x14ac:dyDescent="0.3">
      <c r="A96" s="10">
        <v>24</v>
      </c>
      <c r="B96" s="10" t="s">
        <v>34</v>
      </c>
      <c r="C96" s="10" t="s">
        <v>46</v>
      </c>
      <c r="D96" s="10" t="s">
        <v>134</v>
      </c>
      <c r="E96" s="10" t="s">
        <v>176</v>
      </c>
      <c r="F96" s="10" t="e" vm="19">
        <v>#VALUE!</v>
      </c>
      <c r="G96" s="10" t="s">
        <v>38</v>
      </c>
      <c r="H96" s="10" t="s">
        <v>48</v>
      </c>
      <c r="I96" s="10" t="s">
        <v>115</v>
      </c>
      <c r="J96" s="10" t="s">
        <v>177</v>
      </c>
      <c r="K96" s="2" t="s">
        <v>138</v>
      </c>
      <c r="L96" s="2">
        <v>2574</v>
      </c>
      <c r="M96" s="10">
        <v>6547</v>
      </c>
      <c r="N96" s="10" t="s">
        <v>130</v>
      </c>
      <c r="O96" s="13" t="s">
        <v>139</v>
      </c>
      <c r="P96" s="10" t="s">
        <v>97</v>
      </c>
      <c r="Q96" s="12">
        <v>46101</v>
      </c>
      <c r="R96" s="14">
        <v>46101</v>
      </c>
      <c r="S96" s="12">
        <v>46113</v>
      </c>
      <c r="T96" s="5">
        <v>46104</v>
      </c>
      <c r="U96" s="10" t="s">
        <v>175</v>
      </c>
      <c r="V96" s="10"/>
      <c r="W96" s="11" t="s">
        <v>130</v>
      </c>
      <c r="X96" s="2"/>
      <c r="Y96" s="12">
        <v>46139</v>
      </c>
      <c r="Z96" s="10"/>
      <c r="AA96" s="12">
        <v>46148</v>
      </c>
      <c r="AB96" s="10"/>
      <c r="AC96" s="2"/>
      <c r="AD96" s="12">
        <v>46160</v>
      </c>
      <c r="AE96" s="10"/>
      <c r="AF96" s="10" t="s">
        <v>139</v>
      </c>
      <c r="AG96" s="10"/>
      <c r="AH96" s="10"/>
      <c r="AI96" s="2"/>
      <c r="AJ96" s="2">
        <f t="shared" si="1"/>
        <v>-2574</v>
      </c>
      <c r="AK96" s="10" t="s">
        <v>193</v>
      </c>
    </row>
    <row r="97" spans="1:37" ht="24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2" t="s">
        <v>157</v>
      </c>
      <c r="L97" s="2">
        <v>1686</v>
      </c>
      <c r="M97" s="10"/>
      <c r="N97" s="10"/>
      <c r="O97" s="13"/>
      <c r="P97" s="10"/>
      <c r="Q97" s="10"/>
      <c r="R97" s="11"/>
      <c r="S97" s="10"/>
      <c r="T97" s="5">
        <v>46099</v>
      </c>
      <c r="U97" s="10"/>
      <c r="V97" s="10"/>
      <c r="W97" s="11"/>
      <c r="X97" s="2"/>
      <c r="Y97" s="10"/>
      <c r="Z97" s="10"/>
      <c r="AA97" s="10"/>
      <c r="AB97" s="10"/>
      <c r="AC97" s="2"/>
      <c r="AD97" s="10"/>
      <c r="AE97" s="10"/>
      <c r="AF97" s="10"/>
      <c r="AG97" s="10"/>
      <c r="AH97" s="10"/>
      <c r="AI97" s="2"/>
      <c r="AJ97" s="2">
        <f t="shared" si="1"/>
        <v>-1686</v>
      </c>
      <c r="AK97" s="10"/>
    </row>
    <row r="98" spans="1:37" ht="24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2" t="s">
        <v>163</v>
      </c>
      <c r="L98" s="2">
        <v>496</v>
      </c>
      <c r="M98" s="10"/>
      <c r="N98" s="10"/>
      <c r="O98" s="13"/>
      <c r="P98" s="10"/>
      <c r="Q98" s="10"/>
      <c r="R98" s="11"/>
      <c r="S98" s="10"/>
      <c r="T98" s="5">
        <v>46109</v>
      </c>
      <c r="U98" s="10"/>
      <c r="V98" s="10"/>
      <c r="W98" s="11"/>
      <c r="X98" s="2"/>
      <c r="Y98" s="10"/>
      <c r="Z98" s="10"/>
      <c r="AA98" s="10"/>
      <c r="AB98" s="10"/>
      <c r="AC98" s="2"/>
      <c r="AD98" s="10"/>
      <c r="AE98" s="10"/>
      <c r="AF98" s="10"/>
      <c r="AG98" s="10"/>
      <c r="AH98" s="10"/>
      <c r="AI98" s="2"/>
      <c r="AJ98" s="2">
        <f t="shared" si="1"/>
        <v>-496</v>
      </c>
      <c r="AK98" s="10"/>
    </row>
    <row r="99" spans="1:37" ht="24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2" t="s">
        <v>141</v>
      </c>
      <c r="L99" s="2">
        <v>606</v>
      </c>
      <c r="M99" s="10"/>
      <c r="N99" s="10"/>
      <c r="O99" s="13"/>
      <c r="P99" s="10"/>
      <c r="Q99" s="10"/>
      <c r="R99" s="11"/>
      <c r="S99" s="10"/>
      <c r="T99" s="5">
        <v>46101</v>
      </c>
      <c r="U99" s="10"/>
      <c r="V99" s="10"/>
      <c r="W99" s="11"/>
      <c r="X99" s="2"/>
      <c r="Y99" s="10"/>
      <c r="Z99" s="10"/>
      <c r="AA99" s="10"/>
      <c r="AB99" s="10"/>
      <c r="AC99" s="2"/>
      <c r="AD99" s="10"/>
      <c r="AE99" s="10"/>
      <c r="AF99" s="10"/>
      <c r="AG99" s="10"/>
      <c r="AH99" s="10"/>
      <c r="AI99" s="2"/>
      <c r="AJ99" s="2">
        <f t="shared" si="1"/>
        <v>-606</v>
      </c>
      <c r="AK99" s="10"/>
    </row>
    <row r="100" spans="1:37" ht="24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2" t="s">
        <v>164</v>
      </c>
      <c r="L100" s="2">
        <v>1185</v>
      </c>
      <c r="M100" s="10"/>
      <c r="N100" s="10"/>
      <c r="O100" s="13"/>
      <c r="P100" s="10"/>
      <c r="Q100" s="10"/>
      <c r="R100" s="11"/>
      <c r="S100" s="10"/>
      <c r="T100" s="5">
        <v>46115</v>
      </c>
      <c r="U100" s="10"/>
      <c r="V100" s="10"/>
      <c r="W100" s="11"/>
      <c r="X100" s="2"/>
      <c r="Y100" s="10"/>
      <c r="Z100" s="10"/>
      <c r="AA100" s="10"/>
      <c r="AB100" s="10"/>
      <c r="AC100" s="2"/>
      <c r="AD100" s="10"/>
      <c r="AE100" s="10"/>
      <c r="AF100" s="10"/>
      <c r="AG100" s="10"/>
      <c r="AH100" s="10"/>
      <c r="AI100" s="2"/>
      <c r="AJ100" s="2">
        <f t="shared" si="1"/>
        <v>-1185</v>
      </c>
      <c r="AK100" s="10"/>
    </row>
    <row r="101" spans="1:37" ht="60" customHeight="1" x14ac:dyDescent="0.3">
      <c r="A101" s="10">
        <v>25</v>
      </c>
      <c r="B101" s="10" t="s">
        <v>34</v>
      </c>
      <c r="C101" s="10" t="s">
        <v>35</v>
      </c>
      <c r="D101" s="10" t="s">
        <v>72</v>
      </c>
      <c r="E101" s="10" t="s">
        <v>170</v>
      </c>
      <c r="F101" s="10" t="e" vm="23">
        <v>#VALUE!</v>
      </c>
      <c r="G101" s="10" t="s">
        <v>149</v>
      </c>
      <c r="H101" s="10" t="s">
        <v>150</v>
      </c>
      <c r="I101" s="10" t="s">
        <v>115</v>
      </c>
      <c r="J101" s="10" t="s">
        <v>171</v>
      </c>
      <c r="K101" s="2" t="s">
        <v>87</v>
      </c>
      <c r="L101" s="2">
        <v>367</v>
      </c>
      <c r="M101" s="10">
        <v>696</v>
      </c>
      <c r="N101" s="10" t="s">
        <v>130</v>
      </c>
      <c r="O101" s="13" t="s">
        <v>42</v>
      </c>
      <c r="P101" s="10" t="s">
        <v>102</v>
      </c>
      <c r="Q101" s="12">
        <v>46106</v>
      </c>
      <c r="R101" s="14">
        <v>46106</v>
      </c>
      <c r="S101" s="12">
        <v>46095</v>
      </c>
      <c r="T101" s="14">
        <v>46095</v>
      </c>
      <c r="U101" s="10" t="s">
        <v>172</v>
      </c>
      <c r="V101" s="10"/>
      <c r="W101" s="20">
        <v>46104</v>
      </c>
      <c r="X101" s="2">
        <v>396</v>
      </c>
      <c r="Y101" s="12">
        <v>46120</v>
      </c>
      <c r="Z101" s="14">
        <v>46120</v>
      </c>
      <c r="AA101" s="12">
        <v>46127</v>
      </c>
      <c r="AB101" s="14">
        <v>46127</v>
      </c>
      <c r="AC101" s="2">
        <v>392</v>
      </c>
      <c r="AD101" s="12">
        <v>46133</v>
      </c>
      <c r="AE101" s="10"/>
      <c r="AF101" s="10" t="s">
        <v>42</v>
      </c>
      <c r="AG101" s="10"/>
      <c r="AH101" s="10"/>
      <c r="AI101" s="2"/>
      <c r="AJ101" s="2">
        <f t="shared" si="1"/>
        <v>-367</v>
      </c>
      <c r="AK101" s="10" t="s">
        <v>194</v>
      </c>
    </row>
    <row r="102" spans="1:37" ht="60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2" t="s">
        <v>88</v>
      </c>
      <c r="L102" s="2">
        <v>329</v>
      </c>
      <c r="M102" s="10"/>
      <c r="N102" s="10"/>
      <c r="O102" s="13"/>
      <c r="P102" s="10"/>
      <c r="Q102" s="10"/>
      <c r="R102" s="11"/>
      <c r="S102" s="10"/>
      <c r="T102" s="11"/>
      <c r="U102" s="10"/>
      <c r="V102" s="10"/>
      <c r="W102" s="11"/>
      <c r="X102" s="2">
        <v>354</v>
      </c>
      <c r="Y102" s="10"/>
      <c r="Z102" s="11"/>
      <c r="AA102" s="10"/>
      <c r="AB102" s="11"/>
      <c r="AC102" s="2">
        <v>354</v>
      </c>
      <c r="AD102" s="10"/>
      <c r="AE102" s="10"/>
      <c r="AF102" s="10"/>
      <c r="AG102" s="10"/>
      <c r="AH102" s="10"/>
      <c r="AI102" s="2"/>
      <c r="AJ102" s="2">
        <f t="shared" si="1"/>
        <v>-329</v>
      </c>
      <c r="AK102" s="10"/>
    </row>
    <row r="103" spans="1:37" ht="40.049999999999997" customHeight="1" x14ac:dyDescent="0.3">
      <c r="A103" s="10">
        <v>26</v>
      </c>
      <c r="B103" s="10" t="s">
        <v>34</v>
      </c>
      <c r="C103" s="10" t="s">
        <v>35</v>
      </c>
      <c r="D103" s="10" t="s">
        <v>72</v>
      </c>
      <c r="E103" s="10" t="s">
        <v>168</v>
      </c>
      <c r="F103" s="10" t="e" vm="24">
        <v>#VALUE!</v>
      </c>
      <c r="G103" s="10" t="s">
        <v>146</v>
      </c>
      <c r="H103" s="10" t="s">
        <v>150</v>
      </c>
      <c r="I103" s="10" t="s">
        <v>115</v>
      </c>
      <c r="J103" s="10" t="s">
        <v>169</v>
      </c>
      <c r="K103" s="2" t="s">
        <v>45</v>
      </c>
      <c r="L103" s="2">
        <v>475</v>
      </c>
      <c r="M103" s="10">
        <v>5217</v>
      </c>
      <c r="N103" s="10" t="s">
        <v>130</v>
      </c>
      <c r="O103" s="13" t="s">
        <v>78</v>
      </c>
      <c r="P103" s="10" t="s">
        <v>102</v>
      </c>
      <c r="Q103" s="12">
        <v>46106</v>
      </c>
      <c r="R103" s="14">
        <v>46106</v>
      </c>
      <c r="S103" s="12">
        <v>46108</v>
      </c>
      <c r="T103" s="7">
        <v>46108</v>
      </c>
      <c r="U103" s="10" t="s">
        <v>144</v>
      </c>
      <c r="V103" s="10"/>
      <c r="W103" s="11" t="s">
        <v>130</v>
      </c>
      <c r="X103" s="2">
        <v>500</v>
      </c>
      <c r="Y103" s="12">
        <v>46125</v>
      </c>
      <c r="Z103" s="14">
        <v>46125</v>
      </c>
      <c r="AA103" s="12">
        <v>46142</v>
      </c>
      <c r="AB103" s="10"/>
      <c r="AC103" s="2"/>
      <c r="AD103" s="12">
        <v>46146</v>
      </c>
      <c r="AE103" s="10"/>
      <c r="AF103" s="10" t="s">
        <v>78</v>
      </c>
      <c r="AG103" s="10"/>
      <c r="AH103" s="10"/>
      <c r="AI103" s="2"/>
      <c r="AJ103" s="2">
        <f t="shared" si="1"/>
        <v>-475</v>
      </c>
      <c r="AK103" s="10" t="s">
        <v>192</v>
      </c>
    </row>
    <row r="104" spans="1:37" ht="40.049999999999997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2" t="s">
        <v>87</v>
      </c>
      <c r="L104" s="2">
        <v>673</v>
      </c>
      <c r="M104" s="10"/>
      <c r="N104" s="10"/>
      <c r="O104" s="13"/>
      <c r="P104" s="10"/>
      <c r="Q104" s="10"/>
      <c r="R104" s="11"/>
      <c r="S104" s="10"/>
      <c r="T104" s="4">
        <v>46095</v>
      </c>
      <c r="U104" s="10"/>
      <c r="V104" s="10"/>
      <c r="W104" s="11"/>
      <c r="X104" s="2">
        <v>710</v>
      </c>
      <c r="Y104" s="10"/>
      <c r="Z104" s="11"/>
      <c r="AA104" s="10"/>
      <c r="AB104" s="10"/>
      <c r="AC104" s="2"/>
      <c r="AD104" s="10"/>
      <c r="AE104" s="10"/>
      <c r="AF104" s="10"/>
      <c r="AG104" s="10"/>
      <c r="AH104" s="10"/>
      <c r="AI104" s="2"/>
      <c r="AJ104" s="2">
        <f t="shared" si="1"/>
        <v>-673</v>
      </c>
      <c r="AK104" s="10"/>
    </row>
    <row r="105" spans="1:37" ht="40.049999999999997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2" t="s">
        <v>88</v>
      </c>
      <c r="L105" s="2">
        <v>4069</v>
      </c>
      <c r="M105" s="10"/>
      <c r="N105" s="10"/>
      <c r="O105" s="13"/>
      <c r="P105" s="10"/>
      <c r="Q105" s="10"/>
      <c r="R105" s="11"/>
      <c r="S105" s="10"/>
      <c r="T105" s="4">
        <v>46095</v>
      </c>
      <c r="U105" s="10"/>
      <c r="V105" s="10"/>
      <c r="W105" s="11"/>
      <c r="X105" s="2">
        <v>4282</v>
      </c>
      <c r="Y105" s="10"/>
      <c r="Z105" s="11"/>
      <c r="AA105" s="10"/>
      <c r="AB105" s="10"/>
      <c r="AC105" s="2"/>
      <c r="AD105" s="10"/>
      <c r="AE105" s="10"/>
      <c r="AF105" s="10"/>
      <c r="AG105" s="10"/>
      <c r="AH105" s="10"/>
      <c r="AI105" s="2"/>
      <c r="AJ105" s="2">
        <f t="shared" si="1"/>
        <v>-4069</v>
      </c>
      <c r="AK105" s="10"/>
    </row>
    <row r="106" spans="1:37" ht="30" customHeight="1" x14ac:dyDescent="0.3">
      <c r="A106" s="10">
        <v>27</v>
      </c>
      <c r="B106" s="10" t="s">
        <v>34</v>
      </c>
      <c r="C106" s="10" t="s">
        <v>35</v>
      </c>
      <c r="D106" s="10" t="s">
        <v>134</v>
      </c>
      <c r="E106" s="10" t="s">
        <v>159</v>
      </c>
      <c r="F106" s="10" t="e" vm="25">
        <v>#VALUE!</v>
      </c>
      <c r="G106" s="10" t="s">
        <v>38</v>
      </c>
      <c r="H106" s="10" t="s">
        <v>160</v>
      </c>
      <c r="I106" s="10" t="s">
        <v>115</v>
      </c>
      <c r="J106" s="10" t="s">
        <v>161</v>
      </c>
      <c r="K106" s="2" t="s">
        <v>138</v>
      </c>
      <c r="L106" s="2">
        <v>2187</v>
      </c>
      <c r="M106" s="10">
        <v>5186</v>
      </c>
      <c r="N106" s="10" t="s">
        <v>130</v>
      </c>
      <c r="O106" s="13" t="s">
        <v>77</v>
      </c>
      <c r="P106" s="10" t="s">
        <v>97</v>
      </c>
      <c r="Q106" s="12">
        <v>46106</v>
      </c>
      <c r="R106" s="14">
        <v>46106</v>
      </c>
      <c r="S106" s="12">
        <v>46127</v>
      </c>
      <c r="T106" s="5">
        <v>46118</v>
      </c>
      <c r="U106" s="10" t="s">
        <v>96</v>
      </c>
      <c r="V106" s="10"/>
      <c r="W106" s="11" t="s">
        <v>130</v>
      </c>
      <c r="X106" s="2"/>
      <c r="Y106" s="12">
        <v>46166</v>
      </c>
      <c r="Z106" s="10"/>
      <c r="AA106" s="12">
        <v>46146</v>
      </c>
      <c r="AB106" s="10"/>
      <c r="AC106" s="2"/>
      <c r="AD106" s="12">
        <v>46152</v>
      </c>
      <c r="AE106" s="10"/>
      <c r="AF106" s="10" t="s">
        <v>77</v>
      </c>
      <c r="AG106" s="10"/>
      <c r="AH106" s="10"/>
      <c r="AI106" s="2"/>
      <c r="AJ106" s="2">
        <f t="shared" si="1"/>
        <v>-2187</v>
      </c>
      <c r="AK106" s="10" t="s">
        <v>193</v>
      </c>
    </row>
    <row r="107" spans="1:37" ht="30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2" t="s">
        <v>162</v>
      </c>
      <c r="L107" s="2">
        <v>1173</v>
      </c>
      <c r="M107" s="10"/>
      <c r="N107" s="10"/>
      <c r="O107" s="13"/>
      <c r="P107" s="10"/>
      <c r="Q107" s="10"/>
      <c r="R107" s="11"/>
      <c r="S107" s="10"/>
      <c r="T107" s="5">
        <v>46121</v>
      </c>
      <c r="U107" s="10"/>
      <c r="V107" s="10"/>
      <c r="W107" s="11"/>
      <c r="X107" s="2"/>
      <c r="Y107" s="10"/>
      <c r="Z107" s="10"/>
      <c r="AA107" s="10"/>
      <c r="AB107" s="10"/>
      <c r="AC107" s="2"/>
      <c r="AD107" s="10"/>
      <c r="AE107" s="10"/>
      <c r="AF107" s="10"/>
      <c r="AG107" s="10"/>
      <c r="AH107" s="10"/>
      <c r="AI107" s="2"/>
      <c r="AJ107" s="2">
        <f t="shared" si="1"/>
        <v>-1173</v>
      </c>
      <c r="AK107" s="10"/>
    </row>
    <row r="108" spans="1:37" ht="30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2" t="s">
        <v>163</v>
      </c>
      <c r="L108" s="2">
        <v>1438</v>
      </c>
      <c r="M108" s="10"/>
      <c r="N108" s="10"/>
      <c r="O108" s="13"/>
      <c r="P108" s="10"/>
      <c r="Q108" s="10"/>
      <c r="R108" s="11"/>
      <c r="S108" s="10"/>
      <c r="T108" s="5">
        <v>46127</v>
      </c>
      <c r="U108" s="10"/>
      <c r="V108" s="10"/>
      <c r="W108" s="11"/>
      <c r="X108" s="2"/>
      <c r="Y108" s="10"/>
      <c r="Z108" s="10"/>
      <c r="AA108" s="10"/>
      <c r="AB108" s="10"/>
      <c r="AC108" s="2"/>
      <c r="AD108" s="10"/>
      <c r="AE108" s="10"/>
      <c r="AF108" s="10"/>
      <c r="AG108" s="10"/>
      <c r="AH108" s="10"/>
      <c r="AI108" s="2"/>
      <c r="AJ108" s="2">
        <f t="shared" si="1"/>
        <v>-1438</v>
      </c>
      <c r="AK108" s="10"/>
    </row>
    <row r="109" spans="1:37" ht="30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2" t="s">
        <v>164</v>
      </c>
      <c r="L109" s="2">
        <v>388</v>
      </c>
      <c r="M109" s="10"/>
      <c r="N109" s="10"/>
      <c r="O109" s="13"/>
      <c r="P109" s="10"/>
      <c r="Q109" s="10"/>
      <c r="R109" s="11"/>
      <c r="S109" s="10"/>
      <c r="T109" s="5">
        <v>46121</v>
      </c>
      <c r="U109" s="10"/>
      <c r="V109" s="10"/>
      <c r="W109" s="11"/>
      <c r="X109" s="2"/>
      <c r="Y109" s="10"/>
      <c r="Z109" s="10"/>
      <c r="AA109" s="10"/>
      <c r="AB109" s="10"/>
      <c r="AC109" s="2"/>
      <c r="AD109" s="10"/>
      <c r="AE109" s="10"/>
      <c r="AF109" s="10"/>
      <c r="AG109" s="10"/>
      <c r="AH109" s="10"/>
      <c r="AI109" s="2"/>
      <c r="AJ109" s="2">
        <f t="shared" si="1"/>
        <v>-388</v>
      </c>
      <c r="AK109" s="10"/>
    </row>
    <row r="110" spans="1:37" ht="19.95" customHeight="1" x14ac:dyDescent="0.3">
      <c r="A110" s="10">
        <v>28</v>
      </c>
      <c r="B110" s="10" t="s">
        <v>34</v>
      </c>
      <c r="C110" s="10" t="s">
        <v>35</v>
      </c>
      <c r="D110" s="10" t="s">
        <v>134</v>
      </c>
      <c r="E110" s="10" t="s">
        <v>165</v>
      </c>
      <c r="F110" s="10" t="e" vm="26">
        <v>#VALUE!</v>
      </c>
      <c r="G110" s="10" t="s">
        <v>38</v>
      </c>
      <c r="H110" s="10" t="s">
        <v>160</v>
      </c>
      <c r="I110" s="10" t="s">
        <v>115</v>
      </c>
      <c r="J110" s="10" t="s">
        <v>166</v>
      </c>
      <c r="K110" s="2" t="s">
        <v>152</v>
      </c>
      <c r="L110" s="2">
        <v>1844</v>
      </c>
      <c r="M110" s="10">
        <v>21832</v>
      </c>
      <c r="N110" s="10" t="s">
        <v>130</v>
      </c>
      <c r="O110" s="13" t="s">
        <v>139</v>
      </c>
      <c r="P110" s="10" t="s">
        <v>97</v>
      </c>
      <c r="Q110" s="12">
        <v>46106</v>
      </c>
      <c r="R110" s="14">
        <v>46106</v>
      </c>
      <c r="S110" s="12">
        <v>46127</v>
      </c>
      <c r="T110" s="5">
        <v>46125</v>
      </c>
      <c r="U110" s="10" t="s">
        <v>104</v>
      </c>
      <c r="V110" s="10"/>
      <c r="W110" s="11" t="s">
        <v>130</v>
      </c>
      <c r="X110" s="2">
        <v>1930</v>
      </c>
      <c r="Y110" s="12">
        <v>46132</v>
      </c>
      <c r="Z110" s="14">
        <v>46132</v>
      </c>
      <c r="AA110" s="12">
        <v>46167</v>
      </c>
      <c r="AB110" s="10"/>
      <c r="AC110" s="2"/>
      <c r="AD110" s="12">
        <v>46172</v>
      </c>
      <c r="AE110" s="10"/>
      <c r="AF110" s="10" t="s">
        <v>139</v>
      </c>
      <c r="AG110" s="10"/>
      <c r="AH110" s="10"/>
      <c r="AI110" s="2"/>
      <c r="AJ110" s="2">
        <f t="shared" si="1"/>
        <v>-1844</v>
      </c>
      <c r="AK110" s="10" t="s">
        <v>192</v>
      </c>
    </row>
    <row r="111" spans="1:37" ht="19.9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2" t="s">
        <v>138</v>
      </c>
      <c r="L111" s="2">
        <v>10935</v>
      </c>
      <c r="M111" s="10"/>
      <c r="N111" s="10"/>
      <c r="O111" s="13"/>
      <c r="P111" s="10"/>
      <c r="Q111" s="10"/>
      <c r="R111" s="11"/>
      <c r="S111" s="10"/>
      <c r="T111" s="5">
        <v>46118</v>
      </c>
      <c r="U111" s="10"/>
      <c r="V111" s="10"/>
      <c r="W111" s="11"/>
      <c r="X111" s="2">
        <v>2500</v>
      </c>
      <c r="Y111" s="10"/>
      <c r="Z111" s="11"/>
      <c r="AA111" s="10"/>
      <c r="AB111" s="10"/>
      <c r="AC111" s="2"/>
      <c r="AD111" s="10"/>
      <c r="AE111" s="10"/>
      <c r="AF111" s="10"/>
      <c r="AG111" s="10"/>
      <c r="AH111" s="10"/>
      <c r="AI111" s="2"/>
      <c r="AJ111" s="2">
        <f t="shared" si="1"/>
        <v>-10935</v>
      </c>
      <c r="AK111" s="10"/>
    </row>
    <row r="112" spans="1:37" ht="19.9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2" t="s">
        <v>167</v>
      </c>
      <c r="L112" s="2">
        <v>2579</v>
      </c>
      <c r="M112" s="10"/>
      <c r="N112" s="10"/>
      <c r="O112" s="13"/>
      <c r="P112" s="10"/>
      <c r="Q112" s="10"/>
      <c r="R112" s="11"/>
      <c r="S112" s="10"/>
      <c r="T112" s="5">
        <v>46127</v>
      </c>
      <c r="U112" s="10"/>
      <c r="V112" s="10"/>
      <c r="W112" s="11"/>
      <c r="X112" s="2">
        <v>2700</v>
      </c>
      <c r="Y112" s="10"/>
      <c r="Z112" s="11"/>
      <c r="AA112" s="10"/>
      <c r="AB112" s="10"/>
      <c r="AC112" s="2"/>
      <c r="AD112" s="10"/>
      <c r="AE112" s="10"/>
      <c r="AF112" s="10"/>
      <c r="AG112" s="10"/>
      <c r="AH112" s="10"/>
      <c r="AI112" s="2"/>
      <c r="AJ112" s="2">
        <f t="shared" si="1"/>
        <v>-2579</v>
      </c>
      <c r="AK112" s="10"/>
    </row>
    <row r="113" spans="1:37" ht="19.9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2" t="s">
        <v>162</v>
      </c>
      <c r="L113" s="2">
        <v>4378</v>
      </c>
      <c r="M113" s="10"/>
      <c r="N113" s="10"/>
      <c r="O113" s="13"/>
      <c r="P113" s="10"/>
      <c r="Q113" s="10"/>
      <c r="R113" s="11"/>
      <c r="S113" s="10"/>
      <c r="T113" s="5">
        <v>46127</v>
      </c>
      <c r="U113" s="10"/>
      <c r="V113" s="10"/>
      <c r="W113" s="11"/>
      <c r="X113" s="2">
        <v>2200</v>
      </c>
      <c r="Y113" s="10"/>
      <c r="Z113" s="11"/>
      <c r="AA113" s="10"/>
      <c r="AB113" s="10"/>
      <c r="AC113" s="2"/>
      <c r="AD113" s="10"/>
      <c r="AE113" s="10"/>
      <c r="AF113" s="10"/>
      <c r="AG113" s="10"/>
      <c r="AH113" s="10"/>
      <c r="AI113" s="2"/>
      <c r="AJ113" s="2">
        <f t="shared" si="1"/>
        <v>-4378</v>
      </c>
      <c r="AK113" s="10"/>
    </row>
    <row r="114" spans="1:37" ht="19.9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2" t="s">
        <v>163</v>
      </c>
      <c r="L114" s="2">
        <v>1592</v>
      </c>
      <c r="M114" s="10"/>
      <c r="N114" s="10"/>
      <c r="O114" s="13"/>
      <c r="P114" s="10"/>
      <c r="Q114" s="10"/>
      <c r="R114" s="11"/>
      <c r="S114" s="10"/>
      <c r="T114" s="5">
        <v>46121</v>
      </c>
      <c r="U114" s="10"/>
      <c r="V114" s="10"/>
      <c r="W114" s="11"/>
      <c r="X114" s="2"/>
      <c r="Y114" s="10"/>
      <c r="Z114" s="11"/>
      <c r="AA114" s="10"/>
      <c r="AB114" s="10"/>
      <c r="AC114" s="2"/>
      <c r="AD114" s="10"/>
      <c r="AE114" s="10"/>
      <c r="AF114" s="10"/>
      <c r="AG114" s="10"/>
      <c r="AH114" s="10"/>
      <c r="AI114" s="2"/>
      <c r="AJ114" s="2">
        <f t="shared" si="1"/>
        <v>-1592</v>
      </c>
      <c r="AK114" s="10"/>
    </row>
    <row r="115" spans="1:37" ht="19.9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2" t="s">
        <v>164</v>
      </c>
      <c r="L115" s="2">
        <v>504</v>
      </c>
      <c r="M115" s="10"/>
      <c r="N115" s="10"/>
      <c r="O115" s="13"/>
      <c r="P115" s="10"/>
      <c r="Q115" s="10"/>
      <c r="R115" s="11"/>
      <c r="S115" s="10"/>
      <c r="T115" s="5">
        <v>46121</v>
      </c>
      <c r="U115" s="10"/>
      <c r="V115" s="10"/>
      <c r="W115" s="11"/>
      <c r="X115" s="2">
        <v>530</v>
      </c>
      <c r="Y115" s="10"/>
      <c r="Z115" s="11"/>
      <c r="AA115" s="10"/>
      <c r="AB115" s="10"/>
      <c r="AC115" s="2"/>
      <c r="AD115" s="10"/>
      <c r="AE115" s="10"/>
      <c r="AF115" s="10"/>
      <c r="AG115" s="10"/>
      <c r="AH115" s="10"/>
      <c r="AI115" s="2"/>
      <c r="AJ115" s="2">
        <f t="shared" si="1"/>
        <v>-504</v>
      </c>
      <c r="AK115" s="10"/>
    </row>
    <row r="116" spans="1:37" ht="40.049999999999997" customHeight="1" x14ac:dyDescent="0.3">
      <c r="A116" s="10">
        <v>29</v>
      </c>
      <c r="B116" s="10" t="s">
        <v>34</v>
      </c>
      <c r="C116" s="10" t="s">
        <v>35</v>
      </c>
      <c r="D116" s="10" t="s">
        <v>134</v>
      </c>
      <c r="E116" s="10" t="s">
        <v>145</v>
      </c>
      <c r="F116" s="10" t="e" vm="27">
        <v>#VALUE!</v>
      </c>
      <c r="G116" s="10" t="s">
        <v>146</v>
      </c>
      <c r="H116" s="10" t="s">
        <v>136</v>
      </c>
      <c r="I116" s="10" t="s">
        <v>84</v>
      </c>
      <c r="J116" s="10" t="s">
        <v>147</v>
      </c>
      <c r="K116" s="2" t="s">
        <v>138</v>
      </c>
      <c r="L116" s="2">
        <v>2588</v>
      </c>
      <c r="M116" s="10">
        <v>4736</v>
      </c>
      <c r="N116" s="10" t="s">
        <v>130</v>
      </c>
      <c r="O116" s="13" t="s">
        <v>139</v>
      </c>
      <c r="P116" s="10" t="s">
        <v>97</v>
      </c>
      <c r="Q116" s="12">
        <v>46106</v>
      </c>
      <c r="R116" s="14">
        <v>46106</v>
      </c>
      <c r="S116" s="12">
        <v>46134</v>
      </c>
      <c r="T116" s="10"/>
      <c r="U116" s="10" t="s">
        <v>104</v>
      </c>
      <c r="V116" s="10"/>
      <c r="W116" s="11" t="s">
        <v>130</v>
      </c>
      <c r="X116" s="2"/>
      <c r="Y116" s="12">
        <v>46144</v>
      </c>
      <c r="Z116" s="10"/>
      <c r="AA116" s="12">
        <v>46164</v>
      </c>
      <c r="AB116" s="10"/>
      <c r="AC116" s="2"/>
      <c r="AD116" s="12">
        <v>46170</v>
      </c>
      <c r="AE116" s="10"/>
      <c r="AF116" s="10" t="s">
        <v>139</v>
      </c>
      <c r="AG116" s="10"/>
      <c r="AH116" s="10"/>
      <c r="AI116" s="2"/>
      <c r="AJ116" s="2">
        <f t="shared" si="1"/>
        <v>-2588</v>
      </c>
      <c r="AK116" s="10" t="s">
        <v>195</v>
      </c>
    </row>
    <row r="117" spans="1:37" ht="40.049999999999997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2" t="s">
        <v>140</v>
      </c>
      <c r="L117" s="2">
        <v>1659</v>
      </c>
      <c r="M117" s="10"/>
      <c r="N117" s="10"/>
      <c r="O117" s="13"/>
      <c r="P117" s="10"/>
      <c r="Q117" s="10"/>
      <c r="R117" s="11"/>
      <c r="S117" s="10"/>
      <c r="T117" s="10"/>
      <c r="U117" s="10"/>
      <c r="V117" s="10"/>
      <c r="W117" s="11"/>
      <c r="X117" s="2"/>
      <c r="Y117" s="10"/>
      <c r="Z117" s="10"/>
      <c r="AA117" s="10"/>
      <c r="AB117" s="10"/>
      <c r="AC117" s="2"/>
      <c r="AD117" s="10"/>
      <c r="AE117" s="10"/>
      <c r="AF117" s="10"/>
      <c r="AG117" s="10"/>
      <c r="AH117" s="10"/>
      <c r="AI117" s="2"/>
      <c r="AJ117" s="2">
        <f t="shared" si="1"/>
        <v>-1659</v>
      </c>
      <c r="AK117" s="10"/>
    </row>
    <row r="118" spans="1:37" ht="40.049999999999997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2" t="s">
        <v>141</v>
      </c>
      <c r="L118" s="2">
        <v>489</v>
      </c>
      <c r="M118" s="10"/>
      <c r="N118" s="10"/>
      <c r="O118" s="13"/>
      <c r="P118" s="10"/>
      <c r="Q118" s="10"/>
      <c r="R118" s="11"/>
      <c r="S118" s="10"/>
      <c r="T118" s="10"/>
      <c r="U118" s="10"/>
      <c r="V118" s="10"/>
      <c r="W118" s="11"/>
      <c r="X118" s="2"/>
      <c r="Y118" s="10"/>
      <c r="Z118" s="10"/>
      <c r="AA118" s="10"/>
      <c r="AB118" s="10"/>
      <c r="AC118" s="2"/>
      <c r="AD118" s="10"/>
      <c r="AE118" s="10"/>
      <c r="AF118" s="10"/>
      <c r="AG118" s="10"/>
      <c r="AH118" s="10"/>
      <c r="AI118" s="2"/>
      <c r="AJ118" s="2">
        <f t="shared" si="1"/>
        <v>-489</v>
      </c>
      <c r="AK118" s="10"/>
    </row>
    <row r="119" spans="1:37" ht="40.049999999999997" customHeight="1" x14ac:dyDescent="0.3">
      <c r="A119" s="10">
        <v>30</v>
      </c>
      <c r="B119" s="10" t="s">
        <v>34</v>
      </c>
      <c r="C119" s="10" t="s">
        <v>35</v>
      </c>
      <c r="D119" s="10" t="s">
        <v>134</v>
      </c>
      <c r="E119" s="10" t="s">
        <v>135</v>
      </c>
      <c r="F119" s="10" t="e" vm="28">
        <v>#VALUE!</v>
      </c>
      <c r="G119" s="10" t="s">
        <v>38</v>
      </c>
      <c r="H119" s="10" t="s">
        <v>136</v>
      </c>
      <c r="I119" s="10" t="s">
        <v>84</v>
      </c>
      <c r="J119" s="10" t="s">
        <v>137</v>
      </c>
      <c r="K119" s="2" t="s">
        <v>138</v>
      </c>
      <c r="L119" s="2">
        <v>1903</v>
      </c>
      <c r="M119" s="10">
        <v>3698</v>
      </c>
      <c r="N119" s="10" t="s">
        <v>130</v>
      </c>
      <c r="O119" s="13" t="s">
        <v>139</v>
      </c>
      <c r="P119" s="10" t="s">
        <v>97</v>
      </c>
      <c r="Q119" s="12">
        <v>46106</v>
      </c>
      <c r="R119" s="14">
        <v>46106</v>
      </c>
      <c r="S119" s="12">
        <v>46133</v>
      </c>
      <c r="T119" s="10"/>
      <c r="U119" s="10" t="s">
        <v>104</v>
      </c>
      <c r="V119" s="10"/>
      <c r="W119" s="11" t="s">
        <v>130</v>
      </c>
      <c r="X119" s="2"/>
      <c r="Y119" s="12">
        <v>46140</v>
      </c>
      <c r="Z119" s="10"/>
      <c r="AA119" s="12">
        <v>46160</v>
      </c>
      <c r="AB119" s="10"/>
      <c r="AC119" s="2"/>
      <c r="AD119" s="12">
        <v>46164</v>
      </c>
      <c r="AE119" s="10"/>
      <c r="AF119" s="10" t="s">
        <v>139</v>
      </c>
      <c r="AG119" s="10"/>
      <c r="AH119" s="10"/>
      <c r="AI119" s="2"/>
      <c r="AJ119" s="2">
        <f t="shared" si="1"/>
        <v>-1903</v>
      </c>
      <c r="AK119" s="10" t="s">
        <v>195</v>
      </c>
    </row>
    <row r="120" spans="1:37" ht="40.049999999999997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2" t="s">
        <v>140</v>
      </c>
      <c r="L120" s="2">
        <v>325</v>
      </c>
      <c r="M120" s="10"/>
      <c r="N120" s="10"/>
      <c r="O120" s="13"/>
      <c r="P120" s="10"/>
      <c r="Q120" s="10"/>
      <c r="R120" s="11"/>
      <c r="S120" s="10"/>
      <c r="T120" s="10"/>
      <c r="U120" s="10"/>
      <c r="V120" s="10"/>
      <c r="W120" s="11"/>
      <c r="X120" s="2"/>
      <c r="Y120" s="10"/>
      <c r="Z120" s="10"/>
      <c r="AA120" s="10"/>
      <c r="AB120" s="10"/>
      <c r="AC120" s="2"/>
      <c r="AD120" s="10"/>
      <c r="AE120" s="10"/>
      <c r="AF120" s="10"/>
      <c r="AG120" s="10"/>
      <c r="AH120" s="10"/>
      <c r="AI120" s="2"/>
      <c r="AJ120" s="2">
        <f t="shared" si="1"/>
        <v>-325</v>
      </c>
      <c r="AK120" s="10"/>
    </row>
    <row r="121" spans="1:37" ht="40.049999999999997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2" t="s">
        <v>141</v>
      </c>
      <c r="L121" s="2">
        <v>1470</v>
      </c>
      <c r="M121" s="10"/>
      <c r="N121" s="10"/>
      <c r="O121" s="13"/>
      <c r="P121" s="10"/>
      <c r="Q121" s="10"/>
      <c r="R121" s="11"/>
      <c r="S121" s="10"/>
      <c r="T121" s="10"/>
      <c r="U121" s="10"/>
      <c r="V121" s="10"/>
      <c r="W121" s="11"/>
      <c r="X121" s="2"/>
      <c r="Y121" s="10"/>
      <c r="Z121" s="10"/>
      <c r="AA121" s="10"/>
      <c r="AB121" s="10"/>
      <c r="AC121" s="2"/>
      <c r="AD121" s="10"/>
      <c r="AE121" s="10"/>
      <c r="AF121" s="10"/>
      <c r="AG121" s="10"/>
      <c r="AH121" s="10"/>
      <c r="AI121" s="2"/>
      <c r="AJ121" s="2">
        <f t="shared" si="1"/>
        <v>-1470</v>
      </c>
      <c r="AK121" s="10"/>
    </row>
    <row r="122" spans="1:37" ht="60" customHeight="1" x14ac:dyDescent="0.3">
      <c r="A122" s="10">
        <v>31</v>
      </c>
      <c r="B122" s="10" t="s">
        <v>34</v>
      </c>
      <c r="C122" s="10" t="s">
        <v>35</v>
      </c>
      <c r="D122" s="10" t="s">
        <v>134</v>
      </c>
      <c r="E122" s="10" t="s">
        <v>148</v>
      </c>
      <c r="F122" s="10" t="e" vm="29">
        <v>#VALUE!</v>
      </c>
      <c r="G122" s="10" t="s">
        <v>149</v>
      </c>
      <c r="H122" s="10" t="s">
        <v>150</v>
      </c>
      <c r="I122" s="10" t="s">
        <v>115</v>
      </c>
      <c r="J122" s="10" t="s">
        <v>151</v>
      </c>
      <c r="K122" s="2" t="s">
        <v>152</v>
      </c>
      <c r="L122" s="2">
        <v>361</v>
      </c>
      <c r="M122" s="10">
        <v>729</v>
      </c>
      <c r="N122" s="10" t="s">
        <v>130</v>
      </c>
      <c r="O122" s="13" t="s">
        <v>139</v>
      </c>
      <c r="P122" s="10" t="s">
        <v>97</v>
      </c>
      <c r="Q122" s="12">
        <v>46106</v>
      </c>
      <c r="R122" s="14">
        <v>46106</v>
      </c>
      <c r="S122" s="12">
        <v>46140</v>
      </c>
      <c r="T122" s="5">
        <v>46094</v>
      </c>
      <c r="U122" s="10" t="s">
        <v>104</v>
      </c>
      <c r="V122" s="10"/>
      <c r="W122" s="18">
        <v>46099</v>
      </c>
      <c r="X122" s="2">
        <v>382</v>
      </c>
      <c r="Y122" s="12">
        <v>46122</v>
      </c>
      <c r="Z122" s="14">
        <v>46122</v>
      </c>
      <c r="AA122" s="12">
        <v>46125</v>
      </c>
      <c r="AB122" s="14">
        <v>46125</v>
      </c>
      <c r="AC122" s="2">
        <v>380</v>
      </c>
      <c r="AD122" s="12">
        <v>46133</v>
      </c>
      <c r="AE122" s="10"/>
      <c r="AF122" s="10" t="s">
        <v>139</v>
      </c>
      <c r="AG122" s="10"/>
      <c r="AH122" s="10"/>
      <c r="AI122" s="2"/>
      <c r="AJ122" s="2">
        <f t="shared" si="1"/>
        <v>-361</v>
      </c>
      <c r="AK122" s="10" t="s">
        <v>194</v>
      </c>
    </row>
    <row r="123" spans="1:37" ht="60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2" t="s">
        <v>138</v>
      </c>
      <c r="L123" s="2">
        <v>368</v>
      </c>
      <c r="M123" s="10"/>
      <c r="N123" s="10"/>
      <c r="O123" s="13"/>
      <c r="P123" s="10"/>
      <c r="Q123" s="10"/>
      <c r="R123" s="11"/>
      <c r="S123" s="10"/>
      <c r="T123" s="5">
        <v>46140</v>
      </c>
      <c r="U123" s="10"/>
      <c r="V123" s="10"/>
      <c r="W123" s="19"/>
      <c r="X123" s="2">
        <v>390</v>
      </c>
      <c r="Y123" s="10"/>
      <c r="Z123" s="11"/>
      <c r="AA123" s="10"/>
      <c r="AB123" s="11"/>
      <c r="AC123" s="2">
        <v>386</v>
      </c>
      <c r="AD123" s="10"/>
      <c r="AE123" s="10"/>
      <c r="AF123" s="10"/>
      <c r="AG123" s="10"/>
      <c r="AH123" s="10"/>
      <c r="AI123" s="2"/>
      <c r="AJ123" s="2">
        <f t="shared" si="1"/>
        <v>-368</v>
      </c>
      <c r="AK123" s="10"/>
    </row>
    <row r="124" spans="1:37" ht="60" customHeight="1" x14ac:dyDescent="0.3">
      <c r="A124" s="10">
        <v>32</v>
      </c>
      <c r="B124" s="10" t="s">
        <v>34</v>
      </c>
      <c r="C124" s="10" t="s">
        <v>35</v>
      </c>
      <c r="D124" s="10" t="s">
        <v>134</v>
      </c>
      <c r="E124" s="10" t="s">
        <v>153</v>
      </c>
      <c r="F124" s="10" t="e" vm="30">
        <v>#VALUE!</v>
      </c>
      <c r="G124" s="10" t="s">
        <v>91</v>
      </c>
      <c r="H124" s="10" t="s">
        <v>154</v>
      </c>
      <c r="I124" s="10" t="s">
        <v>155</v>
      </c>
      <c r="J124" s="10" t="s">
        <v>156</v>
      </c>
      <c r="K124" s="2" t="s">
        <v>157</v>
      </c>
      <c r="L124" s="2">
        <v>523</v>
      </c>
      <c r="M124" s="10">
        <v>837</v>
      </c>
      <c r="N124" s="10" t="s">
        <v>130</v>
      </c>
      <c r="O124" s="13" t="s">
        <v>139</v>
      </c>
      <c r="P124" s="10" t="s">
        <v>97</v>
      </c>
      <c r="Q124" s="12">
        <v>46106</v>
      </c>
      <c r="R124" s="14">
        <v>46106</v>
      </c>
      <c r="S124" s="12">
        <v>46132</v>
      </c>
      <c r="T124" s="10"/>
      <c r="U124" s="10" t="s">
        <v>104</v>
      </c>
      <c r="V124" s="10"/>
      <c r="W124" s="10"/>
      <c r="X124" s="2"/>
      <c r="Y124" s="12">
        <v>46152</v>
      </c>
      <c r="Z124" s="10"/>
      <c r="AA124" s="12">
        <v>46176</v>
      </c>
      <c r="AB124" s="10"/>
      <c r="AC124" s="2"/>
      <c r="AD124" s="12">
        <v>46183</v>
      </c>
      <c r="AE124" s="10"/>
      <c r="AF124" s="10" t="s">
        <v>139</v>
      </c>
      <c r="AG124" s="10"/>
      <c r="AH124" s="10"/>
      <c r="AI124" s="2"/>
      <c r="AJ124" s="2">
        <f t="shared" si="1"/>
        <v>-523</v>
      </c>
      <c r="AK124" s="10" t="s">
        <v>195</v>
      </c>
    </row>
    <row r="125" spans="1:37" ht="60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2" t="s">
        <v>158</v>
      </c>
      <c r="L125" s="2">
        <v>314</v>
      </c>
      <c r="M125" s="10"/>
      <c r="N125" s="10"/>
      <c r="O125" s="13"/>
      <c r="P125" s="10"/>
      <c r="Q125" s="10"/>
      <c r="R125" s="11"/>
      <c r="S125" s="10"/>
      <c r="T125" s="10"/>
      <c r="U125" s="10"/>
      <c r="V125" s="10"/>
      <c r="W125" s="10"/>
      <c r="X125" s="2"/>
      <c r="Y125" s="10"/>
      <c r="Z125" s="10"/>
      <c r="AA125" s="10"/>
      <c r="AB125" s="10"/>
      <c r="AC125" s="2"/>
      <c r="AD125" s="10"/>
      <c r="AE125" s="10"/>
      <c r="AF125" s="10"/>
      <c r="AG125" s="10"/>
      <c r="AH125" s="10"/>
      <c r="AI125" s="2"/>
      <c r="AJ125" s="2">
        <f t="shared" si="1"/>
        <v>-314</v>
      </c>
      <c r="AK125" s="10"/>
    </row>
    <row r="126" spans="1:37" ht="17.399999999999999" x14ac:dyDescent="0.4">
      <c r="A126" s="21" t="s">
        <v>70</v>
      </c>
      <c r="B126" s="21"/>
      <c r="C126" s="21"/>
      <c r="D126" s="21"/>
      <c r="E126" s="21"/>
      <c r="F126" s="21"/>
      <c r="G126" s="21"/>
      <c r="H126" s="21"/>
      <c r="M126" s="3">
        <f>SUM(M4:M125)</f>
        <v>200635</v>
      </c>
      <c r="X126" s="3">
        <f>SUM(X4:X125)</f>
        <v>89523</v>
      </c>
      <c r="AC126" s="3">
        <f>SUM(AC4:AC125)</f>
        <v>29290</v>
      </c>
      <c r="AI126" s="3">
        <f>SUM(AI4:AI125)</f>
        <v>19336</v>
      </c>
      <c r="AJ126" s="3">
        <f>SUM(AJ4:AJ125)</f>
        <v>-181299</v>
      </c>
    </row>
  </sheetData>
  <mergeCells count="1009">
    <mergeCell ref="V4:V7"/>
    <mergeCell ref="W4:W7"/>
    <mergeCell ref="Y4:Y7"/>
    <mergeCell ref="Z4:Z7"/>
    <mergeCell ref="A1:AD1"/>
    <mergeCell ref="L2:M2"/>
    <mergeCell ref="Q2:R2"/>
    <mergeCell ref="S2:T2"/>
    <mergeCell ref="U2:W2"/>
    <mergeCell ref="Y2:Z2"/>
    <mergeCell ref="AA2:AB2"/>
    <mergeCell ref="AD2:AE2"/>
    <mergeCell ref="AF2:AH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N2:N3"/>
    <mergeCell ref="O2:O3"/>
    <mergeCell ref="AC2:AC3"/>
    <mergeCell ref="AH8:AH10"/>
    <mergeCell ref="AK8:AK10"/>
    <mergeCell ref="U8:U10"/>
    <mergeCell ref="AA4:AA7"/>
    <mergeCell ref="AB4:AB7"/>
    <mergeCell ref="P2:P3"/>
    <mergeCell ref="X2:X3"/>
    <mergeCell ref="AD4:AD7"/>
    <mergeCell ref="AE4:AE7"/>
    <mergeCell ref="AF4:AF7"/>
    <mergeCell ref="AG4:AG7"/>
    <mergeCell ref="AH4:AH7"/>
    <mergeCell ref="AI2:AI3"/>
    <mergeCell ref="AJ2:AJ3"/>
    <mergeCell ref="AK2:AK3"/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M4:M7"/>
    <mergeCell ref="N4:N7"/>
    <mergeCell ref="O4:O7"/>
    <mergeCell ref="P4:P7"/>
    <mergeCell ref="Q4:Q7"/>
    <mergeCell ref="R4:R7"/>
    <mergeCell ref="U4:U7"/>
    <mergeCell ref="S8:S10"/>
    <mergeCell ref="T8:T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K4:AK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M8:M10"/>
    <mergeCell ref="N8:N10"/>
    <mergeCell ref="O8:O10"/>
    <mergeCell ref="P8:P10"/>
    <mergeCell ref="Q8:Q10"/>
    <mergeCell ref="R8:R10"/>
    <mergeCell ref="S4:S7"/>
    <mergeCell ref="T4:T7"/>
    <mergeCell ref="AF8:AF10"/>
    <mergeCell ref="AG8:AG10"/>
    <mergeCell ref="AE8:AE10"/>
    <mergeCell ref="W8:W10"/>
    <mergeCell ref="Y8:Y10"/>
    <mergeCell ref="Z8:Z10"/>
    <mergeCell ref="AA8:AA10"/>
    <mergeCell ref="AB8:AB10"/>
    <mergeCell ref="AD11:AD12"/>
    <mergeCell ref="AE11:AE12"/>
    <mergeCell ref="AF11:AF12"/>
    <mergeCell ref="V8:V10"/>
    <mergeCell ref="U11:U12"/>
    <mergeCell ref="V11:V12"/>
    <mergeCell ref="W11:W12"/>
    <mergeCell ref="Y11:Y12"/>
    <mergeCell ref="Z11:Z12"/>
    <mergeCell ref="AA11:AA12"/>
    <mergeCell ref="AB11:AB12"/>
    <mergeCell ref="AD8:AD10"/>
    <mergeCell ref="AG11:AG12"/>
    <mergeCell ref="AH11:AH12"/>
    <mergeCell ref="AK11:AK12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M13:M15"/>
    <mergeCell ref="N13:N15"/>
    <mergeCell ref="O13:O15"/>
    <mergeCell ref="P13:P15"/>
    <mergeCell ref="Q13:Q15"/>
    <mergeCell ref="R13:R15"/>
    <mergeCell ref="S11:S12"/>
    <mergeCell ref="T11:T12"/>
    <mergeCell ref="AF13:AF15"/>
    <mergeCell ref="AG13:AG15"/>
    <mergeCell ref="AH13:AH15"/>
    <mergeCell ref="J11:J12"/>
    <mergeCell ref="M11:M12"/>
    <mergeCell ref="N11:N12"/>
    <mergeCell ref="O11:O12"/>
    <mergeCell ref="P11:P12"/>
    <mergeCell ref="Q11:Q12"/>
    <mergeCell ref="R11:R12"/>
    <mergeCell ref="AD13:AD15"/>
    <mergeCell ref="AE13:AE15"/>
    <mergeCell ref="W13:W15"/>
    <mergeCell ref="Y13:Y15"/>
    <mergeCell ref="Z13:Z15"/>
    <mergeCell ref="AA13:AA15"/>
    <mergeCell ref="AB13:AB15"/>
    <mergeCell ref="AD16:AD19"/>
    <mergeCell ref="AE16:AE19"/>
    <mergeCell ref="AK13:AK15"/>
    <mergeCell ref="A16:A19"/>
    <mergeCell ref="B16:B19"/>
    <mergeCell ref="C16:C19"/>
    <mergeCell ref="D16:D19"/>
    <mergeCell ref="E16:E19"/>
    <mergeCell ref="F16:F19"/>
    <mergeCell ref="G16:G19"/>
    <mergeCell ref="H16:H19"/>
    <mergeCell ref="I16:I19"/>
    <mergeCell ref="J16:J19"/>
    <mergeCell ref="M16:M19"/>
    <mergeCell ref="N16:N19"/>
    <mergeCell ref="O16:O19"/>
    <mergeCell ref="P16:P19"/>
    <mergeCell ref="Q16:Q19"/>
    <mergeCell ref="R16:R19"/>
    <mergeCell ref="S13:S15"/>
    <mergeCell ref="T13:T15"/>
    <mergeCell ref="U13:U15"/>
    <mergeCell ref="V13:V15"/>
    <mergeCell ref="U16:U19"/>
    <mergeCell ref="V16:V19"/>
    <mergeCell ref="AF16:AF19"/>
    <mergeCell ref="AG16:AG19"/>
    <mergeCell ref="AH16:AH19"/>
    <mergeCell ref="AK16:AK19"/>
    <mergeCell ref="A20:A23"/>
    <mergeCell ref="B20:B23"/>
    <mergeCell ref="C20:C23"/>
    <mergeCell ref="D20:D23"/>
    <mergeCell ref="E20:E23"/>
    <mergeCell ref="F20:F23"/>
    <mergeCell ref="G20:G23"/>
    <mergeCell ref="H20:H23"/>
    <mergeCell ref="I20:I23"/>
    <mergeCell ref="J20:J23"/>
    <mergeCell ref="M20:M23"/>
    <mergeCell ref="N20:N23"/>
    <mergeCell ref="O20:O23"/>
    <mergeCell ref="P20:P23"/>
    <mergeCell ref="Q20:Q23"/>
    <mergeCell ref="R20:R23"/>
    <mergeCell ref="S16:S19"/>
    <mergeCell ref="T16:T19"/>
    <mergeCell ref="AD20:AD23"/>
    <mergeCell ref="AE20:AE23"/>
    <mergeCell ref="Y16:Y19"/>
    <mergeCell ref="Z16:Z19"/>
    <mergeCell ref="AA16:AA19"/>
    <mergeCell ref="AB16:AB19"/>
    <mergeCell ref="W16:W19"/>
    <mergeCell ref="AF20:AF23"/>
    <mergeCell ref="AG20:AG23"/>
    <mergeCell ref="AH20:AH23"/>
    <mergeCell ref="AK20:AK23"/>
    <mergeCell ref="A126:H126"/>
    <mergeCell ref="S20:S23"/>
    <mergeCell ref="T20:T23"/>
    <mergeCell ref="U20:U23"/>
    <mergeCell ref="V20:V23"/>
    <mergeCell ref="W20:W23"/>
    <mergeCell ref="Y20:Y23"/>
    <mergeCell ref="Z20:Z23"/>
    <mergeCell ref="AA20:AA23"/>
    <mergeCell ref="AB20:AB23"/>
    <mergeCell ref="A36:A39"/>
    <mergeCell ref="B36:B39"/>
    <mergeCell ref="C36:C39"/>
    <mergeCell ref="D36:D39"/>
    <mergeCell ref="E36:E39"/>
    <mergeCell ref="F36:F39"/>
    <mergeCell ref="G36:G39"/>
    <mergeCell ref="I44:I47"/>
    <mergeCell ref="J44:J47"/>
    <mergeCell ref="M44:M47"/>
    <mergeCell ref="N44:N47"/>
    <mergeCell ref="O44:O47"/>
    <mergeCell ref="P44:P47"/>
    <mergeCell ref="Q44:Q47"/>
    <mergeCell ref="R44:R47"/>
    <mergeCell ref="S44:S47"/>
    <mergeCell ref="A40:A43"/>
    <mergeCell ref="B40:B43"/>
    <mergeCell ref="C40:C43"/>
    <mergeCell ref="D40:D43"/>
    <mergeCell ref="E40:E43"/>
    <mergeCell ref="F40:F43"/>
    <mergeCell ref="AH40:AH43"/>
    <mergeCell ref="AG36:AG39"/>
    <mergeCell ref="H36:H39"/>
    <mergeCell ref="I36:I39"/>
    <mergeCell ref="J36:J39"/>
    <mergeCell ref="V36:V39"/>
    <mergeCell ref="W36:W39"/>
    <mergeCell ref="Y36:Y39"/>
    <mergeCell ref="Z36:Z39"/>
    <mergeCell ref="AA36:AA39"/>
    <mergeCell ref="AB36:AB39"/>
    <mergeCell ref="AD36:AD39"/>
    <mergeCell ref="AK40:AK43"/>
    <mergeCell ref="AE36:AE39"/>
    <mergeCell ref="AF36:AF39"/>
    <mergeCell ref="M36:M39"/>
    <mergeCell ref="N36:N39"/>
    <mergeCell ref="O36:O39"/>
    <mergeCell ref="P36:P39"/>
    <mergeCell ref="Q36:Q39"/>
    <mergeCell ref="R36:R39"/>
    <mergeCell ref="U36:U39"/>
    <mergeCell ref="AH36:AH39"/>
    <mergeCell ref="AK36:AK39"/>
    <mergeCell ref="AA40:AA43"/>
    <mergeCell ref="AB40:AB43"/>
    <mergeCell ref="AD40:AD43"/>
    <mergeCell ref="AE40:AE43"/>
    <mergeCell ref="AF40:AF43"/>
    <mergeCell ref="AG40:AG43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M48:M49"/>
    <mergeCell ref="N48:N49"/>
    <mergeCell ref="O48:O49"/>
    <mergeCell ref="P48:P49"/>
    <mergeCell ref="Q48:Q49"/>
    <mergeCell ref="R48:R49"/>
    <mergeCell ref="AG48:AG49"/>
    <mergeCell ref="E29:E31"/>
    <mergeCell ref="F29:F31"/>
    <mergeCell ref="G29:G31"/>
    <mergeCell ref="V48:V49"/>
    <mergeCell ref="W48:W49"/>
    <mergeCell ref="Y48:Y49"/>
    <mergeCell ref="Z48:Z49"/>
    <mergeCell ref="AA48:AA49"/>
    <mergeCell ref="AB48:AB49"/>
    <mergeCell ref="AA44:AA47"/>
    <mergeCell ref="AB44:AB47"/>
    <mergeCell ref="AD44:AD47"/>
    <mergeCell ref="AE44:AE47"/>
    <mergeCell ref="AF44:AF47"/>
    <mergeCell ref="AG44:AG47"/>
    <mergeCell ref="AH44:AH47"/>
    <mergeCell ref="AK44:AK47"/>
    <mergeCell ref="AH48:AH49"/>
    <mergeCell ref="G40:G43"/>
    <mergeCell ref="H40:H43"/>
    <mergeCell ref="I40:I43"/>
    <mergeCell ref="J40:J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AK48:AK49"/>
    <mergeCell ref="A26:A28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M26:M28"/>
    <mergeCell ref="N26:N28"/>
    <mergeCell ref="O26:O28"/>
    <mergeCell ref="P26:P28"/>
    <mergeCell ref="Q26:Q28"/>
    <mergeCell ref="R26:R28"/>
    <mergeCell ref="S26:S28"/>
    <mergeCell ref="T26:T28"/>
    <mergeCell ref="S48:S49"/>
    <mergeCell ref="AD29:AD31"/>
    <mergeCell ref="AE29:AE31"/>
    <mergeCell ref="J29:J31"/>
    <mergeCell ref="T44:T47"/>
    <mergeCell ref="U44:U47"/>
    <mergeCell ref="V44:V47"/>
    <mergeCell ref="W44:W47"/>
    <mergeCell ref="Y44:Y47"/>
    <mergeCell ref="Z44:Z47"/>
    <mergeCell ref="A44:A47"/>
    <mergeCell ref="AG29:AG31"/>
    <mergeCell ref="AH29:AH31"/>
    <mergeCell ref="AG50:AG52"/>
    <mergeCell ref="AF26:AF28"/>
    <mergeCell ref="AG26:AG28"/>
    <mergeCell ref="AH26:AH28"/>
    <mergeCell ref="AK26:AK28"/>
    <mergeCell ref="A50:A52"/>
    <mergeCell ref="B50:B52"/>
    <mergeCell ref="C50:C52"/>
    <mergeCell ref="D50:D52"/>
    <mergeCell ref="E50:E52"/>
    <mergeCell ref="F50:F52"/>
    <mergeCell ref="G50:G52"/>
    <mergeCell ref="H50:H52"/>
    <mergeCell ref="I50:I52"/>
    <mergeCell ref="J50:J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U26:U28"/>
    <mergeCell ref="V26:V28"/>
    <mergeCell ref="AA26:AA28"/>
    <mergeCell ref="AB26:AB28"/>
    <mergeCell ref="AD26:AD28"/>
    <mergeCell ref="AE26:AE28"/>
    <mergeCell ref="AD48:AD49"/>
    <mergeCell ref="AK53:AK56"/>
    <mergeCell ref="AH50:AH52"/>
    <mergeCell ref="AK50:AK52"/>
    <mergeCell ref="A53:A56"/>
    <mergeCell ref="B53:B56"/>
    <mergeCell ref="C53:C56"/>
    <mergeCell ref="D53:D56"/>
    <mergeCell ref="E53:E56"/>
    <mergeCell ref="F53:F56"/>
    <mergeCell ref="G53:G56"/>
    <mergeCell ref="H53:H56"/>
    <mergeCell ref="I53:I56"/>
    <mergeCell ref="J53:J56"/>
    <mergeCell ref="M53:M56"/>
    <mergeCell ref="N53:N56"/>
    <mergeCell ref="O53:O56"/>
    <mergeCell ref="P53:P56"/>
    <mergeCell ref="Q53:Q56"/>
    <mergeCell ref="R53:R56"/>
    <mergeCell ref="S53:S56"/>
    <mergeCell ref="T53:T56"/>
    <mergeCell ref="U53:U56"/>
    <mergeCell ref="V53:V56"/>
    <mergeCell ref="W53:W56"/>
    <mergeCell ref="Y53:Y56"/>
    <mergeCell ref="W50:W52"/>
    <mergeCell ref="Y50:Y52"/>
    <mergeCell ref="Z50:Z52"/>
    <mergeCell ref="AA50:AA52"/>
    <mergeCell ref="AB50:AB52"/>
    <mergeCell ref="AD50:AD52"/>
    <mergeCell ref="AE50:AE52"/>
    <mergeCell ref="AK29:AK31"/>
    <mergeCell ref="A59:A62"/>
    <mergeCell ref="B59:B62"/>
    <mergeCell ref="C59:C62"/>
    <mergeCell ref="D59:D62"/>
    <mergeCell ref="E59:E62"/>
    <mergeCell ref="F59:F62"/>
    <mergeCell ref="G59:G62"/>
    <mergeCell ref="H59:H62"/>
    <mergeCell ref="I59:I62"/>
    <mergeCell ref="J59:J62"/>
    <mergeCell ref="M59:M62"/>
    <mergeCell ref="N59:N62"/>
    <mergeCell ref="O59:O62"/>
    <mergeCell ref="P59:P62"/>
    <mergeCell ref="Q59:Q62"/>
    <mergeCell ref="R59:R62"/>
    <mergeCell ref="S59:S62"/>
    <mergeCell ref="T59:T62"/>
    <mergeCell ref="U59:U62"/>
    <mergeCell ref="V59:V62"/>
    <mergeCell ref="U29:U31"/>
    <mergeCell ref="V29:V31"/>
    <mergeCell ref="W29:W31"/>
    <mergeCell ref="Y29:Y31"/>
    <mergeCell ref="Z29:Z31"/>
    <mergeCell ref="AE53:AE56"/>
    <mergeCell ref="AF53:AF56"/>
    <mergeCell ref="AG53:AG56"/>
    <mergeCell ref="AH53:AH56"/>
    <mergeCell ref="U32:U35"/>
    <mergeCell ref="V32:V35"/>
    <mergeCell ref="AG63:AG69"/>
    <mergeCell ref="AH63:AH69"/>
    <mergeCell ref="AK63:AK69"/>
    <mergeCell ref="AH59:AH62"/>
    <mergeCell ref="AK59:AK62"/>
    <mergeCell ref="A63:A69"/>
    <mergeCell ref="B63:B69"/>
    <mergeCell ref="C63:C69"/>
    <mergeCell ref="D63:D69"/>
    <mergeCell ref="E63:E69"/>
    <mergeCell ref="F63:F69"/>
    <mergeCell ref="G63:G69"/>
    <mergeCell ref="H63:H69"/>
    <mergeCell ref="I63:I69"/>
    <mergeCell ref="J63:J69"/>
    <mergeCell ref="M63:M69"/>
    <mergeCell ref="N63:N69"/>
    <mergeCell ref="O63:O69"/>
    <mergeCell ref="P63:P69"/>
    <mergeCell ref="Q63:Q69"/>
    <mergeCell ref="R63:R69"/>
    <mergeCell ref="S63:S69"/>
    <mergeCell ref="U63:U69"/>
    <mergeCell ref="V63:V69"/>
    <mergeCell ref="W63:W69"/>
    <mergeCell ref="Y63:Y69"/>
    <mergeCell ref="W59:W62"/>
    <mergeCell ref="Y59:Y62"/>
    <mergeCell ref="Z59:Z62"/>
    <mergeCell ref="AG59:AG62"/>
    <mergeCell ref="AF59:AF62"/>
    <mergeCell ref="AE59:AE62"/>
    <mergeCell ref="M24:M25"/>
    <mergeCell ref="N24:N25"/>
    <mergeCell ref="O24:O25"/>
    <mergeCell ref="P24:P25"/>
    <mergeCell ref="Q24:Q25"/>
    <mergeCell ref="R24:R25"/>
    <mergeCell ref="S24:S25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AF63:AF69"/>
    <mergeCell ref="W26:W28"/>
    <mergeCell ref="Y26:Y28"/>
    <mergeCell ref="Z26:Z28"/>
    <mergeCell ref="M29:M31"/>
    <mergeCell ref="N29:N31"/>
    <mergeCell ref="O29:O31"/>
    <mergeCell ref="P29:P31"/>
    <mergeCell ref="Q29:Q31"/>
    <mergeCell ref="R29:R31"/>
    <mergeCell ref="S29:S31"/>
    <mergeCell ref="T29:T31"/>
    <mergeCell ref="A29:A31"/>
    <mergeCell ref="B29:B31"/>
    <mergeCell ref="C29:C31"/>
    <mergeCell ref="D29:D31"/>
    <mergeCell ref="H29:H31"/>
    <mergeCell ref="I29:I31"/>
    <mergeCell ref="AF29:AF31"/>
    <mergeCell ref="AF50:AF52"/>
    <mergeCell ref="AE48:AE49"/>
    <mergeCell ref="AF48:AF49"/>
    <mergeCell ref="B44:B47"/>
    <mergeCell ref="AG57:AG58"/>
    <mergeCell ref="AF24:AF25"/>
    <mergeCell ref="AG24:AG25"/>
    <mergeCell ref="AH24:AH25"/>
    <mergeCell ref="AK24:AK25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M57:M58"/>
    <mergeCell ref="N57:N58"/>
    <mergeCell ref="O57:O58"/>
    <mergeCell ref="P57:P58"/>
    <mergeCell ref="Q57:Q58"/>
    <mergeCell ref="R57:R58"/>
    <mergeCell ref="S57:S58"/>
    <mergeCell ref="AD24:AD25"/>
    <mergeCell ref="AE24:AE25"/>
    <mergeCell ref="J24:J25"/>
    <mergeCell ref="U24:U25"/>
    <mergeCell ref="V24:V25"/>
    <mergeCell ref="W24:W25"/>
    <mergeCell ref="Y24:Y25"/>
    <mergeCell ref="Z24:Z25"/>
    <mergeCell ref="AA24:AA25"/>
    <mergeCell ref="AB24:AB25"/>
    <mergeCell ref="AK70:AK75"/>
    <mergeCell ref="AH57:AH58"/>
    <mergeCell ref="AK57:AK58"/>
    <mergeCell ref="A70:A75"/>
    <mergeCell ref="B70:B75"/>
    <mergeCell ref="C70:C75"/>
    <mergeCell ref="D70:D75"/>
    <mergeCell ref="E70:E75"/>
    <mergeCell ref="F70:F75"/>
    <mergeCell ref="G70:G75"/>
    <mergeCell ref="H70:H75"/>
    <mergeCell ref="I70:I75"/>
    <mergeCell ref="J70:J75"/>
    <mergeCell ref="M70:M75"/>
    <mergeCell ref="N70:N75"/>
    <mergeCell ref="O70:O75"/>
    <mergeCell ref="P70:P75"/>
    <mergeCell ref="Q70:Q75"/>
    <mergeCell ref="R70:R75"/>
    <mergeCell ref="S70:S75"/>
    <mergeCell ref="U70:U75"/>
    <mergeCell ref="V70:V75"/>
    <mergeCell ref="AF32:AF35"/>
    <mergeCell ref="AA29:AA31"/>
    <mergeCell ref="AB29:AB31"/>
    <mergeCell ref="AF57:AF58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I119:I121"/>
    <mergeCell ref="Z70:Z75"/>
    <mergeCell ref="AA70:AA75"/>
    <mergeCell ref="AB70:AB75"/>
    <mergeCell ref="AD70:AD75"/>
    <mergeCell ref="AE70:AE75"/>
    <mergeCell ref="AF70:AF75"/>
    <mergeCell ref="U119:U121"/>
    <mergeCell ref="V119:V121"/>
    <mergeCell ref="W119:W121"/>
    <mergeCell ref="Y119:Y121"/>
    <mergeCell ref="Z119:Z121"/>
    <mergeCell ref="AA119:AA121"/>
    <mergeCell ref="AB119:AB121"/>
    <mergeCell ref="T57:T58"/>
    <mergeCell ref="U57:U58"/>
    <mergeCell ref="V57:V58"/>
    <mergeCell ref="N119:N121"/>
    <mergeCell ref="O119:O121"/>
    <mergeCell ref="P119:P121"/>
    <mergeCell ref="Q119:Q121"/>
    <mergeCell ref="R119:R121"/>
    <mergeCell ref="S119:S121"/>
    <mergeCell ref="AG70:AG75"/>
    <mergeCell ref="AH70:AH75"/>
    <mergeCell ref="Y116:Y118"/>
    <mergeCell ref="AA116:AA118"/>
    <mergeCell ref="AB116:AB118"/>
    <mergeCell ref="AD116:AD118"/>
    <mergeCell ref="AE116:AE118"/>
    <mergeCell ref="AF116:AF118"/>
    <mergeCell ref="AG116:AG118"/>
    <mergeCell ref="AH116:AH118"/>
    <mergeCell ref="I110:I115"/>
    <mergeCell ref="Z106:Z109"/>
    <mergeCell ref="AA106:AA109"/>
    <mergeCell ref="AB106:AB109"/>
    <mergeCell ref="AD106:AD109"/>
    <mergeCell ref="AE106:AE109"/>
    <mergeCell ref="AF106:AF109"/>
    <mergeCell ref="AF103:AF105"/>
    <mergeCell ref="AG103:AG105"/>
    <mergeCell ref="AF110:AF115"/>
    <mergeCell ref="AG110:AG115"/>
    <mergeCell ref="AH110:AH115"/>
    <mergeCell ref="AD101:AD102"/>
    <mergeCell ref="AE101:AE102"/>
    <mergeCell ref="AF101:AF102"/>
    <mergeCell ref="AG101:AG102"/>
    <mergeCell ref="AH101:AH102"/>
    <mergeCell ref="AD90:AD95"/>
    <mergeCell ref="AE90:AE95"/>
    <mergeCell ref="J90:J95"/>
    <mergeCell ref="M90:M95"/>
    <mergeCell ref="N90:N95"/>
    <mergeCell ref="T119:T121"/>
    <mergeCell ref="B116:B118"/>
    <mergeCell ref="C116:C118"/>
    <mergeCell ref="D116:D118"/>
    <mergeCell ref="E116:E118"/>
    <mergeCell ref="Z63:Z69"/>
    <mergeCell ref="AA63:AA69"/>
    <mergeCell ref="AB63:AB69"/>
    <mergeCell ref="AD63:AD69"/>
    <mergeCell ref="AE63:AE69"/>
    <mergeCell ref="V116:V118"/>
    <mergeCell ref="W116:W118"/>
    <mergeCell ref="D110:D115"/>
    <mergeCell ref="E110:E115"/>
    <mergeCell ref="F110:F115"/>
    <mergeCell ref="G110:G115"/>
    <mergeCell ref="H110:H115"/>
    <mergeCell ref="Y101:Y102"/>
    <mergeCell ref="AE103:AE105"/>
    <mergeCell ref="Z101:Z102"/>
    <mergeCell ref="AA101:AA102"/>
    <mergeCell ref="AB101:AB102"/>
    <mergeCell ref="W70:W75"/>
    <mergeCell ref="Y70:Y75"/>
    <mergeCell ref="R101:R102"/>
    <mergeCell ref="S101:S102"/>
    <mergeCell ref="T101:T102"/>
    <mergeCell ref="U101:U102"/>
    <mergeCell ref="V101:V102"/>
    <mergeCell ref="W101:W102"/>
    <mergeCell ref="S90:S95"/>
    <mergeCell ref="B90:B95"/>
    <mergeCell ref="AA53:AA56"/>
    <mergeCell ref="AB53:AB56"/>
    <mergeCell ref="AD53:AD56"/>
    <mergeCell ref="W32:W35"/>
    <mergeCell ref="Y32:Y35"/>
    <mergeCell ref="Z32:Z35"/>
    <mergeCell ref="AA32:AA35"/>
    <mergeCell ref="AB32:AB35"/>
    <mergeCell ref="AD32:AD35"/>
    <mergeCell ref="AE32:AE35"/>
    <mergeCell ref="AA59:AA62"/>
    <mergeCell ref="C44:C47"/>
    <mergeCell ref="D44:D47"/>
    <mergeCell ref="E44:E47"/>
    <mergeCell ref="F44:F47"/>
    <mergeCell ref="G44:G47"/>
    <mergeCell ref="H44:H47"/>
    <mergeCell ref="T48:T49"/>
    <mergeCell ref="U48:U49"/>
    <mergeCell ref="W57:W58"/>
    <mergeCell ref="Y57:Y58"/>
    <mergeCell ref="Z57:Z58"/>
    <mergeCell ref="AA57:AA58"/>
    <mergeCell ref="AB57:AB58"/>
    <mergeCell ref="AD57:AD58"/>
    <mergeCell ref="AE57:AE58"/>
    <mergeCell ref="W40:W43"/>
    <mergeCell ref="Y40:Y43"/>
    <mergeCell ref="Z40:Z43"/>
    <mergeCell ref="AG32:AG35"/>
    <mergeCell ref="AF119:AF121"/>
    <mergeCell ref="AG119:AG121"/>
    <mergeCell ref="AH119:AH121"/>
    <mergeCell ref="AK119:AK121"/>
    <mergeCell ref="A32:A35"/>
    <mergeCell ref="B32:B35"/>
    <mergeCell ref="C32:C35"/>
    <mergeCell ref="D32:D35"/>
    <mergeCell ref="E32:E35"/>
    <mergeCell ref="F32:F35"/>
    <mergeCell ref="G32:G35"/>
    <mergeCell ref="H32:H35"/>
    <mergeCell ref="I32:I35"/>
    <mergeCell ref="J32:J35"/>
    <mergeCell ref="M32:M35"/>
    <mergeCell ref="N32:N35"/>
    <mergeCell ref="O32:O35"/>
    <mergeCell ref="P32:P35"/>
    <mergeCell ref="Q32:Q35"/>
    <mergeCell ref="R32:R35"/>
    <mergeCell ref="S32:S35"/>
    <mergeCell ref="Z116:Z118"/>
    <mergeCell ref="AK116:AK118"/>
    <mergeCell ref="AH32:AH35"/>
    <mergeCell ref="AK32:AK35"/>
    <mergeCell ref="A116:A118"/>
    <mergeCell ref="B110:B115"/>
    <mergeCell ref="C110:C115"/>
    <mergeCell ref="AB59:AB62"/>
    <mergeCell ref="AD59:AD62"/>
    <mergeCell ref="Z53:Z56"/>
    <mergeCell ref="AB122:AB123"/>
    <mergeCell ref="AD122:AD123"/>
    <mergeCell ref="AE122:AE123"/>
    <mergeCell ref="J122:J123"/>
    <mergeCell ref="M122:M123"/>
    <mergeCell ref="N122:N123"/>
    <mergeCell ref="O122:O123"/>
    <mergeCell ref="P122:P123"/>
    <mergeCell ref="Q122:Q123"/>
    <mergeCell ref="R122:R123"/>
    <mergeCell ref="S122:S123"/>
    <mergeCell ref="F116:F118"/>
    <mergeCell ref="G116:G118"/>
    <mergeCell ref="H116:H118"/>
    <mergeCell ref="I116:I118"/>
    <mergeCell ref="J116:J118"/>
    <mergeCell ref="M116:M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Y122:Y123"/>
    <mergeCell ref="Z122:Z123"/>
    <mergeCell ref="AA122:AA123"/>
    <mergeCell ref="AD119:AD121"/>
    <mergeCell ref="AE119:AE121"/>
    <mergeCell ref="J119:J121"/>
    <mergeCell ref="M119:M121"/>
    <mergeCell ref="D122:D123"/>
    <mergeCell ref="E122:E123"/>
    <mergeCell ref="F122:F123"/>
    <mergeCell ref="G122:G123"/>
    <mergeCell ref="H122:H123"/>
    <mergeCell ref="I122:I123"/>
    <mergeCell ref="AF124:AF125"/>
    <mergeCell ref="AG124:AG125"/>
    <mergeCell ref="AF122:AF123"/>
    <mergeCell ref="AG122:AG123"/>
    <mergeCell ref="AH122:AH123"/>
    <mergeCell ref="AK122:AK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M124:M125"/>
    <mergeCell ref="N124:N125"/>
    <mergeCell ref="O124:O125"/>
    <mergeCell ref="P124:P125"/>
    <mergeCell ref="Q124:Q125"/>
    <mergeCell ref="R124:R125"/>
    <mergeCell ref="S124:S125"/>
    <mergeCell ref="U122:U123"/>
    <mergeCell ref="V122:V123"/>
    <mergeCell ref="W122:W123"/>
    <mergeCell ref="AH124:AH125"/>
    <mergeCell ref="AK124:AK125"/>
    <mergeCell ref="A106:A109"/>
    <mergeCell ref="B106:B109"/>
    <mergeCell ref="C106:C109"/>
    <mergeCell ref="D106:D109"/>
    <mergeCell ref="E106:E109"/>
    <mergeCell ref="F106:F109"/>
    <mergeCell ref="G106:G109"/>
    <mergeCell ref="H106:H109"/>
    <mergeCell ref="I106:I109"/>
    <mergeCell ref="J106:J109"/>
    <mergeCell ref="M106:M109"/>
    <mergeCell ref="N106:N109"/>
    <mergeCell ref="O106:O109"/>
    <mergeCell ref="P106:P109"/>
    <mergeCell ref="Q106:Q109"/>
    <mergeCell ref="R106:R109"/>
    <mergeCell ref="S106:S109"/>
    <mergeCell ref="U106:U109"/>
    <mergeCell ref="V106:V109"/>
    <mergeCell ref="W106:W109"/>
    <mergeCell ref="A122:A123"/>
    <mergeCell ref="B122:B123"/>
    <mergeCell ref="C122:C123"/>
    <mergeCell ref="W124:W125"/>
    <mergeCell ref="Y124:Y125"/>
    <mergeCell ref="Z124:Z125"/>
    <mergeCell ref="AA124:AA125"/>
    <mergeCell ref="AB124:AB125"/>
    <mergeCell ref="AD124:AD125"/>
    <mergeCell ref="AE124:AE125"/>
    <mergeCell ref="A110:A115"/>
    <mergeCell ref="AH106:AH109"/>
    <mergeCell ref="U103:U105"/>
    <mergeCell ref="V103:V105"/>
    <mergeCell ref="U110:U115"/>
    <mergeCell ref="V110:V115"/>
    <mergeCell ref="W110:W115"/>
    <mergeCell ref="Y110:Y115"/>
    <mergeCell ref="Z110:Z115"/>
    <mergeCell ref="AA110:AA115"/>
    <mergeCell ref="AB110:AB115"/>
    <mergeCell ref="AD110:AD115"/>
    <mergeCell ref="AE110:AE115"/>
    <mergeCell ref="J110:J115"/>
    <mergeCell ref="M110:M115"/>
    <mergeCell ref="N110:N115"/>
    <mergeCell ref="O110:O115"/>
    <mergeCell ref="P110:P115"/>
    <mergeCell ref="Q110:Q115"/>
    <mergeCell ref="R110:R115"/>
    <mergeCell ref="S110:S115"/>
    <mergeCell ref="Y106:Y109"/>
    <mergeCell ref="T124:T125"/>
    <mergeCell ref="U124:U125"/>
    <mergeCell ref="V124:V125"/>
    <mergeCell ref="W103:W105"/>
    <mergeCell ref="Y103:Y105"/>
    <mergeCell ref="Z103:Z105"/>
    <mergeCell ref="AA103:AA105"/>
    <mergeCell ref="AB103:AB105"/>
    <mergeCell ref="AD103:AD105"/>
    <mergeCell ref="AH90:AH95"/>
    <mergeCell ref="AK90:AK95"/>
    <mergeCell ref="A96:A100"/>
    <mergeCell ref="AK110:AK115"/>
    <mergeCell ref="A103:A105"/>
    <mergeCell ref="B103:B105"/>
    <mergeCell ref="C103:C105"/>
    <mergeCell ref="D103:D105"/>
    <mergeCell ref="E103:E105"/>
    <mergeCell ref="F103:F105"/>
    <mergeCell ref="G103:G105"/>
    <mergeCell ref="H103:H105"/>
    <mergeCell ref="I103:I105"/>
    <mergeCell ref="J103:J105"/>
    <mergeCell ref="M103:M105"/>
    <mergeCell ref="N103:N105"/>
    <mergeCell ref="O103:O105"/>
    <mergeCell ref="P103:P105"/>
    <mergeCell ref="Q103:Q105"/>
    <mergeCell ref="R103:R105"/>
    <mergeCell ref="S103:S105"/>
    <mergeCell ref="AG106:AG109"/>
    <mergeCell ref="AK106:AK109"/>
    <mergeCell ref="AK101:AK102"/>
    <mergeCell ref="AH103:AH105"/>
    <mergeCell ref="AK103:AK105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M101:M102"/>
    <mergeCell ref="N101:N102"/>
    <mergeCell ref="O101:O102"/>
    <mergeCell ref="P101:P102"/>
    <mergeCell ref="Q101:Q102"/>
    <mergeCell ref="O96:O100"/>
    <mergeCell ref="P96:P100"/>
    <mergeCell ref="Q96:Q100"/>
    <mergeCell ref="R96:R100"/>
    <mergeCell ref="S96:S100"/>
    <mergeCell ref="U96:U100"/>
    <mergeCell ref="C90:C95"/>
    <mergeCell ref="D90:D95"/>
    <mergeCell ref="E90:E95"/>
    <mergeCell ref="F90:F95"/>
    <mergeCell ref="G90:G95"/>
    <mergeCell ref="H90:H95"/>
    <mergeCell ref="I90:I95"/>
    <mergeCell ref="I96:I100"/>
    <mergeCell ref="J96:J100"/>
    <mergeCell ref="M96:M100"/>
    <mergeCell ref="N96:N100"/>
    <mergeCell ref="AF96:AF100"/>
    <mergeCell ref="AG96:AG100"/>
    <mergeCell ref="AF90:AF95"/>
    <mergeCell ref="AG90:AG95"/>
    <mergeCell ref="R90:R95"/>
    <mergeCell ref="A90:A95"/>
    <mergeCell ref="AK76:AK82"/>
    <mergeCell ref="AH96:AH100"/>
    <mergeCell ref="AK96:AK100"/>
    <mergeCell ref="A76:A82"/>
    <mergeCell ref="B76:B82"/>
    <mergeCell ref="C76:C82"/>
    <mergeCell ref="D76:D82"/>
    <mergeCell ref="E76:E82"/>
    <mergeCell ref="F76:F82"/>
    <mergeCell ref="G76:G82"/>
    <mergeCell ref="H76:H82"/>
    <mergeCell ref="I76:I82"/>
    <mergeCell ref="J76:J82"/>
    <mergeCell ref="M76:M82"/>
    <mergeCell ref="N76:N82"/>
    <mergeCell ref="O76:O82"/>
    <mergeCell ref="P76:P82"/>
    <mergeCell ref="Q76:Q82"/>
    <mergeCell ref="R76:R82"/>
    <mergeCell ref="B96:B100"/>
    <mergeCell ref="C96:C100"/>
    <mergeCell ref="D96:D100"/>
    <mergeCell ref="E96:E100"/>
    <mergeCell ref="F96:F100"/>
    <mergeCell ref="G96:G100"/>
    <mergeCell ref="H96:H100"/>
    <mergeCell ref="W96:W100"/>
    <mergeCell ref="Y96:Y100"/>
    <mergeCell ref="Z96:Z100"/>
    <mergeCell ref="AA96:AA100"/>
    <mergeCell ref="AB96:AB100"/>
    <mergeCell ref="AD96:AD100"/>
    <mergeCell ref="AE96:AE100"/>
    <mergeCell ref="A83:A89"/>
    <mergeCell ref="B83:B89"/>
    <mergeCell ref="C83:C89"/>
    <mergeCell ref="D83:D89"/>
    <mergeCell ref="E83:E89"/>
    <mergeCell ref="F83:F89"/>
    <mergeCell ref="G83:G89"/>
    <mergeCell ref="H83:H89"/>
    <mergeCell ref="I83:I89"/>
    <mergeCell ref="Z76:Z82"/>
    <mergeCell ref="AA76:AA82"/>
    <mergeCell ref="AB76:AB82"/>
    <mergeCell ref="AD76:AD82"/>
    <mergeCell ref="AE76:AE82"/>
    <mergeCell ref="V96:V100"/>
    <mergeCell ref="U90:U95"/>
    <mergeCell ref="V90:V95"/>
    <mergeCell ref="W90:W95"/>
    <mergeCell ref="Y90:Y95"/>
    <mergeCell ref="Z90:Z95"/>
    <mergeCell ref="AA90:AA95"/>
    <mergeCell ref="AB90:AB95"/>
    <mergeCell ref="O90:O95"/>
    <mergeCell ref="P90:P95"/>
    <mergeCell ref="Q90:Q95"/>
    <mergeCell ref="AF76:AF82"/>
    <mergeCell ref="AG76:AG82"/>
    <mergeCell ref="AH76:AH82"/>
    <mergeCell ref="AF83:AF89"/>
    <mergeCell ref="AG83:AG89"/>
    <mergeCell ref="AH83:AH89"/>
    <mergeCell ref="AK83:AK89"/>
    <mergeCell ref="U83:U89"/>
    <mergeCell ref="V83:V89"/>
    <mergeCell ref="W83:W89"/>
    <mergeCell ref="Y83:Y89"/>
    <mergeCell ref="Z83:Z89"/>
    <mergeCell ref="AA83:AA89"/>
    <mergeCell ref="AB83:AB89"/>
    <mergeCell ref="AD83:AD89"/>
    <mergeCell ref="AE83:AE89"/>
    <mergeCell ref="J83:J89"/>
    <mergeCell ref="M83:M89"/>
    <mergeCell ref="N83:N89"/>
    <mergeCell ref="O83:O89"/>
    <mergeCell ref="P83:P89"/>
    <mergeCell ref="Q83:Q89"/>
    <mergeCell ref="R83:R89"/>
    <mergeCell ref="S83:S89"/>
    <mergeCell ref="T83:T89"/>
    <mergeCell ref="S76:S82"/>
    <mergeCell ref="U76:U82"/>
    <mergeCell ref="V76:V82"/>
    <mergeCell ref="W76:W82"/>
    <mergeCell ref="Y76:Y82"/>
    <mergeCell ref="T77:T82"/>
  </mergeCells>
  <pageMargins left="0.15748031496062992" right="0.15748031496062992" top="0.19685039370078741" bottom="0.15748031496062992" header="0.19685039370078741" footer="0.15748031496062992"/>
  <pageSetup paperSize="8" scale="37" fitToHeight="0" orientation="landscape" horizontalDpi="1200" verticalDpi="1200" r:id="rId1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2025-12-26T10:42:04Z</dcterms:created>
  <dcterms:modified xsi:type="dcterms:W3CDTF">2026-04-20T17:08:34Z</dcterms:modified>
  <cp:category/>
</cp:coreProperties>
</file>