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E19" i="1"/>
  <c r="L19"/>
  <c r="K19" s="1"/>
  <c r="I19" s="1"/>
  <c r="G19" s="1"/>
  <c r="H3"/>
  <c r="H5" s="1"/>
  <c r="B3"/>
  <c r="H4" l="1"/>
  <c r="C19" s="1"/>
  <c r="M14" l="1"/>
  <c r="K14"/>
  <c r="I14"/>
  <c r="G14"/>
  <c r="E14"/>
  <c r="C14"/>
  <c r="N9"/>
  <c r="L9"/>
  <c r="J9"/>
  <c r="H9"/>
  <c r="F9"/>
  <c r="D9"/>
  <c r="N14"/>
  <c r="L14"/>
  <c r="J14"/>
  <c r="H14"/>
  <c r="F14"/>
  <c r="D14"/>
  <c r="O9"/>
  <c r="M9"/>
  <c r="K9"/>
  <c r="I9"/>
  <c r="G9"/>
  <c r="E9"/>
  <c r="C9"/>
  <c r="D19" l="1"/>
  <c r="F19" s="1"/>
  <c r="H19" s="1"/>
  <c r="J19" s="1"/>
</calcChain>
</file>

<file path=xl/sharedStrings.xml><?xml version="1.0" encoding="utf-8"?>
<sst xmlns="http://schemas.openxmlformats.org/spreadsheetml/2006/main" count="88" uniqueCount="55">
  <si>
    <t>Orders Plan</t>
  </si>
  <si>
    <t>Date :</t>
  </si>
  <si>
    <t xml:space="preserve">Order receipt </t>
  </si>
  <si>
    <t>Order L/D</t>
  </si>
  <si>
    <t>Job No</t>
  </si>
  <si>
    <t>Ex-Fty date</t>
  </si>
  <si>
    <t>Pre-Prod  L/D</t>
  </si>
  <si>
    <t>Quantity :</t>
  </si>
  <si>
    <t>Delivery date</t>
  </si>
  <si>
    <t>Prodn L/D</t>
  </si>
  <si>
    <t>Pre-
Production
TNA</t>
  </si>
  <si>
    <t>L/D send</t>
  </si>
  <si>
    <t>L/D appl</t>
  </si>
  <si>
    <t>Fit send</t>
  </si>
  <si>
    <t>Fit appl</t>
  </si>
  <si>
    <t>A/W send</t>
  </si>
  <si>
    <t>A/W appl</t>
  </si>
  <si>
    <t>I/B Fab send</t>
  </si>
  <si>
    <t>I/B fab appl</t>
  </si>
  <si>
    <t>PP send</t>
  </si>
  <si>
    <t>PP appl</t>
  </si>
  <si>
    <t>FPT</t>
  </si>
  <si>
    <t>GPT</t>
  </si>
  <si>
    <t>PCD</t>
  </si>
  <si>
    <t>Plan</t>
  </si>
  <si>
    <t xml:space="preserve">Action </t>
  </si>
  <si>
    <t>Deviation if any</t>
  </si>
  <si>
    <t>.</t>
  </si>
  <si>
    <t>Fabric TNA</t>
  </si>
  <si>
    <t>Job sheet</t>
  </si>
  <si>
    <t>Consumption Locking</t>
  </si>
  <si>
    <t>Costing Freezed</t>
  </si>
  <si>
    <t>Yarn Req. deadline</t>
  </si>
  <si>
    <t>Yarn I/H</t>
  </si>
  <si>
    <t>Knit start</t>
  </si>
  <si>
    <t>Knit 
Complete</t>
  </si>
  <si>
    <t>Dyeing 
start</t>
  </si>
  <si>
    <t>Dyeing complete</t>
  </si>
  <si>
    <t>Finishing
start</t>
  </si>
  <si>
    <t>finishing
Complete</t>
  </si>
  <si>
    <t>Fabric I/H</t>
  </si>
  <si>
    <t>Action</t>
  </si>
  <si>
    <t>Production
 TNA</t>
  </si>
  <si>
    <t>Cutting 
start</t>
  </si>
  <si>
    <t>Cutting complete</t>
  </si>
  <si>
    <t>Prnt/Emb Start</t>
  </si>
  <si>
    <t>Prnt/Emb Complete</t>
  </si>
  <si>
    <t>Sewing Start</t>
  </si>
  <si>
    <t>Sewing 
Complete</t>
  </si>
  <si>
    <t>CIP start</t>
  </si>
  <si>
    <t>CIP complete</t>
  </si>
  <si>
    <t>Final Inspection</t>
  </si>
  <si>
    <t>CLAER</t>
  </si>
  <si>
    <t>U/SEWING</t>
  </si>
  <si>
    <t>-</t>
  </si>
</sst>
</file>

<file path=xl/styles.xml><?xml version="1.0" encoding="utf-8"?>
<styleSheet xmlns="http://schemas.openxmlformats.org/spreadsheetml/2006/main">
  <numFmts count="4">
    <numFmt numFmtId="164" formatCode="dd/mm/yyyy;@"/>
    <numFmt numFmtId="165" formatCode="0\ &quot;Days&quot;"/>
    <numFmt numFmtId="166" formatCode="dd\.mm\.yyyy;@"/>
    <numFmt numFmtId="167" formatCode="d/mm/yyyy;@"/>
  </numFmts>
  <fonts count="6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164" fontId="0" fillId="0" borderId="0" xfId="0" applyNumberFormat="1"/>
    <xf numFmtId="165" fontId="0" fillId="0" borderId="0" xfId="0" applyNumberFormat="1" applyAlignment="1">
      <alignment horizontal="center"/>
    </xf>
    <xf numFmtId="0" fontId="2" fillId="0" borderId="1" xfId="0" applyFont="1" applyBorder="1"/>
    <xf numFmtId="164" fontId="0" fillId="0" borderId="1" xfId="0" applyNumberFormat="1" applyBorder="1" applyAlignment="1">
      <alignment horizontal="left"/>
    </xf>
    <xf numFmtId="166" fontId="0" fillId="0" borderId="1" xfId="0" applyNumberFormat="1" applyFont="1" applyBorder="1" applyAlignment="1">
      <alignment horizontal="center"/>
    </xf>
    <xf numFmtId="164" fontId="2" fillId="0" borderId="1" xfId="0" applyNumberFormat="1" applyFont="1" applyBorder="1"/>
    <xf numFmtId="165" fontId="0" fillId="0" borderId="1" xfId="0" applyNumberFormat="1" applyBorder="1" applyAlignment="1">
      <alignment horizontal="center"/>
    </xf>
    <xf numFmtId="0" fontId="0" fillId="0" borderId="1" xfId="0" applyNumberFormat="1" applyBorder="1" applyAlignment="1">
      <alignment horizontal="left"/>
    </xf>
    <xf numFmtId="164" fontId="0" fillId="0" borderId="1" xfId="0" applyNumberFormat="1" applyBorder="1" applyAlignment="1">
      <alignment horizontal="center"/>
    </xf>
    <xf numFmtId="164" fontId="3" fillId="2" borderId="1" xfId="0" applyNumberFormat="1" applyFont="1" applyFill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0" fontId="2" fillId="0" borderId="0" xfId="0" applyFont="1"/>
    <xf numFmtId="164" fontId="2" fillId="0" borderId="0" xfId="0" applyNumberFormat="1" applyFont="1" applyAlignment="1">
      <alignment horizontal="center"/>
    </xf>
    <xf numFmtId="0" fontId="4" fillId="0" borderId="2" xfId="0" applyFont="1" applyBorder="1" applyAlignment="1">
      <alignment horizontal="center" vertical="center" wrapText="1"/>
    </xf>
    <xf numFmtId="165" fontId="1" fillId="3" borderId="1" xfId="0" applyNumberFormat="1" applyFont="1" applyFill="1" applyBorder="1" applyAlignment="1">
      <alignment horizontal="center"/>
    </xf>
    <xf numFmtId="0" fontId="1" fillId="3" borderId="1" xfId="0" applyFont="1" applyFill="1" applyBorder="1"/>
    <xf numFmtId="0" fontId="4" fillId="0" borderId="3" xfId="0" applyFont="1" applyBorder="1" applyAlignment="1">
      <alignment horizontal="center" vertical="center" wrapText="1"/>
    </xf>
    <xf numFmtId="165" fontId="5" fillId="0" borderId="1" xfId="0" applyNumberFormat="1" applyFont="1" applyBorder="1" applyAlignment="1">
      <alignment horizontal="center"/>
    </xf>
    <xf numFmtId="164" fontId="0" fillId="0" borderId="1" xfId="0" applyNumberFormat="1" applyBorder="1"/>
    <xf numFmtId="165" fontId="5" fillId="2" borderId="1" xfId="0" applyNumberFormat="1" applyFont="1" applyFill="1" applyBorder="1" applyAlignment="1">
      <alignment horizontal="center"/>
    </xf>
    <xf numFmtId="167" fontId="0" fillId="2" borderId="1" xfId="0" applyNumberFormat="1" applyFill="1" applyBorder="1" applyAlignment="1">
      <alignment horizontal="center"/>
    </xf>
    <xf numFmtId="0" fontId="4" fillId="0" borderId="4" xfId="0" applyFont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165" fontId="2" fillId="3" borderId="1" xfId="0" applyNumberFormat="1" applyFont="1" applyFill="1" applyBorder="1" applyAlignment="1">
      <alignment horizontal="center"/>
    </xf>
    <xf numFmtId="0" fontId="1" fillId="3" borderId="1" xfId="0" applyFont="1" applyFill="1" applyBorder="1" applyAlignment="1">
      <alignment wrapText="1"/>
    </xf>
    <xf numFmtId="167" fontId="0" fillId="0" borderId="1" xfId="0" applyNumberFormat="1" applyBorder="1"/>
    <xf numFmtId="167" fontId="0" fillId="0" borderId="0" xfId="0" applyNumberFormat="1" applyBorder="1" applyAlignment="1">
      <alignment horizontal="center"/>
    </xf>
    <xf numFmtId="0" fontId="0" fillId="0" borderId="1" xfId="0" applyBorder="1"/>
    <xf numFmtId="0" fontId="4" fillId="0" borderId="1" xfId="0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167" fontId="0" fillId="0" borderId="5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2"/>
  <sheetViews>
    <sheetView tabSelected="1" topLeftCell="A7" workbookViewId="0">
      <selection activeCell="J20" sqref="J20"/>
    </sheetView>
  </sheetViews>
  <sheetFormatPr defaultRowHeight="15"/>
  <cols>
    <col min="1" max="1" width="18.42578125" bestFit="1" customWidth="1"/>
    <col min="2" max="2" width="16.42578125" style="1" customWidth="1"/>
    <col min="3" max="3" width="12.42578125" customWidth="1"/>
    <col min="4" max="4" width="13" customWidth="1"/>
    <col min="5" max="5" width="14" customWidth="1"/>
    <col min="6" max="6" width="12.140625" customWidth="1"/>
    <col min="7" max="7" width="13.140625" customWidth="1"/>
    <col min="8" max="8" width="10.7109375" bestFit="1" customWidth="1"/>
    <col min="9" max="9" width="11.85546875" bestFit="1" customWidth="1"/>
    <col min="10" max="10" width="11.140625" bestFit="1" customWidth="1"/>
    <col min="11" max="15" width="10.7109375" bestFit="1" customWidth="1"/>
  </cols>
  <sheetData>
    <row r="1" spans="1:15">
      <c r="D1" t="s">
        <v>0</v>
      </c>
    </row>
    <row r="2" spans="1:15">
      <c r="B2" s="2"/>
    </row>
    <row r="3" spans="1:15">
      <c r="A3" s="3" t="s">
        <v>1</v>
      </c>
      <c r="B3" s="4">
        <f ca="1">TODAY()</f>
        <v>46133</v>
      </c>
      <c r="D3" s="3" t="s">
        <v>2</v>
      </c>
      <c r="E3" s="5">
        <v>46059</v>
      </c>
      <c r="F3" s="1"/>
      <c r="G3" s="6" t="s">
        <v>3</v>
      </c>
      <c r="H3" s="7">
        <f>E4-E3</f>
        <v>90</v>
      </c>
      <c r="I3" s="1"/>
      <c r="J3" s="1"/>
      <c r="K3" s="1"/>
      <c r="L3" s="1"/>
    </row>
    <row r="4" spans="1:15">
      <c r="A4" s="3" t="s">
        <v>4</v>
      </c>
      <c r="B4" s="8">
        <v>63261</v>
      </c>
      <c r="D4" s="3" t="s">
        <v>5</v>
      </c>
      <c r="E4" s="9">
        <v>46149</v>
      </c>
      <c r="G4" s="6" t="s">
        <v>6</v>
      </c>
      <c r="H4" s="7">
        <f>H3*55%</f>
        <v>49.500000000000007</v>
      </c>
      <c r="I4" s="1"/>
      <c r="J4" s="1"/>
      <c r="K4" s="1"/>
      <c r="L4" s="1"/>
    </row>
    <row r="5" spans="1:15">
      <c r="A5" s="3" t="s">
        <v>7</v>
      </c>
      <c r="B5" s="8">
        <v>16200</v>
      </c>
      <c r="D5" s="3" t="s">
        <v>8</v>
      </c>
      <c r="E5" s="10">
        <v>46159</v>
      </c>
      <c r="F5" s="1"/>
      <c r="G5" s="6" t="s">
        <v>9</v>
      </c>
      <c r="H5" s="7">
        <f>H3*45%</f>
        <v>40.5</v>
      </c>
      <c r="I5" s="1"/>
      <c r="J5" s="1"/>
      <c r="K5" s="1"/>
      <c r="L5" s="1"/>
      <c r="O5" s="11"/>
    </row>
    <row r="6" spans="1:15">
      <c r="A6" s="12"/>
      <c r="B6" s="13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5">
      <c r="A7" s="12"/>
      <c r="B7" s="13"/>
      <c r="C7" s="1"/>
      <c r="D7" s="1"/>
      <c r="E7" s="1"/>
      <c r="F7" s="1"/>
      <c r="G7" s="1"/>
      <c r="H7" s="1"/>
      <c r="I7" s="1"/>
      <c r="J7" s="1"/>
      <c r="K7" s="1"/>
      <c r="L7" s="1"/>
    </row>
    <row r="8" spans="1:15">
      <c r="A8" s="14" t="s">
        <v>10</v>
      </c>
      <c r="B8" s="15"/>
      <c r="C8" s="16" t="s">
        <v>11</v>
      </c>
      <c r="D8" s="16" t="s">
        <v>12</v>
      </c>
      <c r="E8" s="16" t="s">
        <v>13</v>
      </c>
      <c r="F8" s="16" t="s">
        <v>14</v>
      </c>
      <c r="G8" s="16" t="s">
        <v>15</v>
      </c>
      <c r="H8" s="16" t="s">
        <v>16</v>
      </c>
      <c r="I8" s="16" t="s">
        <v>17</v>
      </c>
      <c r="J8" s="16" t="s">
        <v>18</v>
      </c>
      <c r="K8" s="16" t="s">
        <v>19</v>
      </c>
      <c r="L8" s="16" t="s">
        <v>20</v>
      </c>
      <c r="M8" s="16" t="s">
        <v>21</v>
      </c>
      <c r="N8" s="16" t="s">
        <v>22</v>
      </c>
      <c r="O8" s="16" t="s">
        <v>23</v>
      </c>
    </row>
    <row r="9" spans="1:15" ht="22.5" customHeight="1">
      <c r="A9" s="17"/>
      <c r="B9" s="18" t="s">
        <v>24</v>
      </c>
      <c r="C9" s="9">
        <f>E3+(H4*15%)</f>
        <v>46066.425000000003</v>
      </c>
      <c r="D9" s="9">
        <f>E3+(H4*40%)</f>
        <v>46078.8</v>
      </c>
      <c r="E9" s="9">
        <f>E3+(H4*15%)</f>
        <v>46066.425000000003</v>
      </c>
      <c r="F9" s="9">
        <f>E3+(H4*50%)</f>
        <v>46083.75</v>
      </c>
      <c r="G9" s="9">
        <f>E3+(H4*25%)</f>
        <v>46071.375</v>
      </c>
      <c r="H9" s="9">
        <f>E3+(H4*60%)</f>
        <v>46088.7</v>
      </c>
      <c r="I9" s="9">
        <f>E3+(H4*63%)</f>
        <v>46090.184999999998</v>
      </c>
      <c r="J9" s="9">
        <f>E3+(H4*70%)</f>
        <v>46093.65</v>
      </c>
      <c r="K9" s="9">
        <f>E3+(H4*80%)</f>
        <v>46098.6</v>
      </c>
      <c r="L9" s="9">
        <f>E3+(H4*95%)</f>
        <v>46106.025000000001</v>
      </c>
      <c r="M9" s="19">
        <f>E3+(H4*85%)</f>
        <v>46101.074999999997</v>
      </c>
      <c r="N9" s="19">
        <f>E3+(H4*105%)</f>
        <v>46110.974999999999</v>
      </c>
      <c r="O9" s="9">
        <f>E3+(H4*100%)</f>
        <v>46108.5</v>
      </c>
    </row>
    <row r="10" spans="1:15" ht="22.5" customHeight="1">
      <c r="A10" s="17"/>
      <c r="B10" s="20" t="s">
        <v>25</v>
      </c>
      <c r="C10" s="21" t="s">
        <v>52</v>
      </c>
      <c r="D10" s="21" t="s">
        <v>52</v>
      </c>
      <c r="E10" s="21" t="s">
        <v>52</v>
      </c>
      <c r="F10" s="21" t="s">
        <v>52</v>
      </c>
      <c r="G10" s="21" t="s">
        <v>52</v>
      </c>
      <c r="H10" s="21" t="s">
        <v>52</v>
      </c>
      <c r="I10" s="21" t="s">
        <v>52</v>
      </c>
      <c r="J10" s="21" t="s">
        <v>52</v>
      </c>
      <c r="K10" s="21" t="s">
        <v>52</v>
      </c>
      <c r="L10" s="21" t="s">
        <v>52</v>
      </c>
      <c r="M10" s="21" t="s">
        <v>52</v>
      </c>
      <c r="N10" s="21" t="s">
        <v>52</v>
      </c>
      <c r="O10" s="21" t="s">
        <v>52</v>
      </c>
    </row>
    <row r="11" spans="1:15" ht="22.5" customHeight="1">
      <c r="A11" s="22"/>
      <c r="B11" s="18" t="s">
        <v>26</v>
      </c>
      <c r="C11" s="23" t="s">
        <v>27</v>
      </c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</row>
    <row r="12" spans="1:15">
      <c r="B12" s="2"/>
    </row>
    <row r="13" spans="1:15" ht="30">
      <c r="A13" s="24" t="s">
        <v>28</v>
      </c>
      <c r="B13" s="25"/>
      <c r="C13" s="26" t="s">
        <v>29</v>
      </c>
      <c r="D13" s="26" t="s">
        <v>30</v>
      </c>
      <c r="E13" s="26" t="s">
        <v>31</v>
      </c>
      <c r="F13" s="26" t="s">
        <v>32</v>
      </c>
      <c r="G13" s="16" t="s">
        <v>33</v>
      </c>
      <c r="H13" s="16" t="s">
        <v>34</v>
      </c>
      <c r="I13" s="26" t="s">
        <v>35</v>
      </c>
      <c r="J13" s="26" t="s">
        <v>36</v>
      </c>
      <c r="K13" s="26" t="s">
        <v>37</v>
      </c>
      <c r="L13" s="26" t="s">
        <v>38</v>
      </c>
      <c r="M13" s="26" t="s">
        <v>39</v>
      </c>
      <c r="N13" s="26" t="s">
        <v>40</v>
      </c>
    </row>
    <row r="14" spans="1:15" ht="22.5" customHeight="1">
      <c r="A14" s="24"/>
      <c r="B14" s="18" t="s">
        <v>24</v>
      </c>
      <c r="C14" s="27">
        <f>E3+(H4*4%)</f>
        <v>46060.98</v>
      </c>
      <c r="D14" s="27">
        <f>E3+(H4*10%)</f>
        <v>46063.95</v>
      </c>
      <c r="E14" s="27">
        <f>E3+(H4*10%)</f>
        <v>46063.95</v>
      </c>
      <c r="F14" s="27">
        <f>E3+(H4*13%)</f>
        <v>46065.434999999998</v>
      </c>
      <c r="G14" s="19">
        <f>E3+(H4*25%)</f>
        <v>46071.375</v>
      </c>
      <c r="H14" s="19">
        <f>E3+(H4*30%)</f>
        <v>46073.85</v>
      </c>
      <c r="I14" s="19">
        <f>E3+(H4*48%)</f>
        <v>46082.76</v>
      </c>
      <c r="J14" s="19">
        <f>E3+(H4*50%)</f>
        <v>46083.75</v>
      </c>
      <c r="K14" s="19">
        <f>E3+(H4*78%)</f>
        <v>46097.61</v>
      </c>
      <c r="L14" s="19">
        <f>E3+(H4*78%)</f>
        <v>46097.61</v>
      </c>
      <c r="M14" s="19">
        <f>E3+(H4*83%)</f>
        <v>46100.084999999999</v>
      </c>
      <c r="N14" s="9">
        <f>E3+(H4*85%)</f>
        <v>46101.074999999997</v>
      </c>
    </row>
    <row r="15" spans="1:15" ht="22.5" customHeight="1">
      <c r="A15" s="24"/>
      <c r="B15" s="20" t="s">
        <v>41</v>
      </c>
      <c r="C15" s="21" t="s">
        <v>52</v>
      </c>
      <c r="D15" s="21" t="s">
        <v>52</v>
      </c>
      <c r="E15" s="21" t="s">
        <v>52</v>
      </c>
      <c r="F15" s="21" t="s">
        <v>52</v>
      </c>
      <c r="G15" s="21" t="s">
        <v>52</v>
      </c>
      <c r="H15" s="21" t="s">
        <v>52</v>
      </c>
      <c r="I15" s="21" t="s">
        <v>52</v>
      </c>
      <c r="J15" s="21" t="s">
        <v>52</v>
      </c>
      <c r="K15" s="21" t="s">
        <v>52</v>
      </c>
      <c r="L15" s="21" t="s">
        <v>52</v>
      </c>
      <c r="M15" s="21" t="s">
        <v>52</v>
      </c>
      <c r="N15" s="21" t="s">
        <v>52</v>
      </c>
      <c r="O15" s="28"/>
    </row>
    <row r="16" spans="1:15" ht="22.5" customHeight="1">
      <c r="A16" s="24"/>
      <c r="B16" s="18" t="s">
        <v>26</v>
      </c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</row>
    <row r="17" spans="1:15">
      <c r="B17" s="2"/>
    </row>
    <row r="18" spans="1:15" ht="30">
      <c r="A18" s="30" t="s">
        <v>42</v>
      </c>
      <c r="B18" s="15"/>
      <c r="C18" s="31" t="s">
        <v>23</v>
      </c>
      <c r="D18" s="26" t="s">
        <v>43</v>
      </c>
      <c r="E18" s="26" t="s">
        <v>44</v>
      </c>
      <c r="F18" s="26" t="s">
        <v>45</v>
      </c>
      <c r="G18" s="26" t="s">
        <v>46</v>
      </c>
      <c r="H18" s="16" t="s">
        <v>47</v>
      </c>
      <c r="I18" s="26" t="s">
        <v>48</v>
      </c>
      <c r="J18" s="26" t="s">
        <v>49</v>
      </c>
      <c r="K18" s="26" t="s">
        <v>50</v>
      </c>
      <c r="L18" s="26" t="s">
        <v>51</v>
      </c>
    </row>
    <row r="19" spans="1:15" ht="22.5" customHeight="1">
      <c r="A19" s="30"/>
      <c r="B19" s="7" t="s">
        <v>24</v>
      </c>
      <c r="C19" s="19">
        <f>E3+(H4*100%)</f>
        <v>46108.5</v>
      </c>
      <c r="D19" s="19">
        <f>O9+3</f>
        <v>46111.5</v>
      </c>
      <c r="E19" s="19">
        <f>G19-5</f>
        <v>46133</v>
      </c>
      <c r="F19" s="19">
        <f>D19+5</f>
        <v>46116.5</v>
      </c>
      <c r="G19" s="19">
        <f>I19-3</f>
        <v>46138</v>
      </c>
      <c r="H19" s="19">
        <f>F19+5</f>
        <v>46121.5</v>
      </c>
      <c r="I19" s="19">
        <f>K19-4</f>
        <v>46141</v>
      </c>
      <c r="J19" s="19">
        <f>H19+10</f>
        <v>46131.5</v>
      </c>
      <c r="K19" s="19">
        <f>L19-1</f>
        <v>46145</v>
      </c>
      <c r="L19" s="19">
        <f>E4-3</f>
        <v>46146</v>
      </c>
    </row>
    <row r="20" spans="1:15" ht="22.5" customHeight="1">
      <c r="A20" s="30"/>
      <c r="B20" s="21"/>
      <c r="C20" s="21" t="s">
        <v>52</v>
      </c>
      <c r="D20" s="21" t="s">
        <v>52</v>
      </c>
      <c r="E20" s="21" t="s">
        <v>52</v>
      </c>
      <c r="F20" s="21" t="s">
        <v>54</v>
      </c>
      <c r="G20" s="21" t="s">
        <v>54</v>
      </c>
      <c r="H20" s="21" t="s">
        <v>53</v>
      </c>
      <c r="I20" s="21" t="s">
        <v>53</v>
      </c>
      <c r="J20" s="21"/>
      <c r="K20" s="21"/>
      <c r="L20" s="21"/>
      <c r="M20" s="32"/>
      <c r="N20" s="28"/>
      <c r="O20" s="28"/>
    </row>
    <row r="21" spans="1:15" ht="22.5" customHeight="1">
      <c r="A21" s="30"/>
      <c r="B21" s="7"/>
      <c r="C21" s="29"/>
      <c r="D21" s="29"/>
      <c r="E21" s="29"/>
      <c r="F21" s="29"/>
      <c r="G21" s="29"/>
      <c r="H21" s="29"/>
      <c r="I21" s="29"/>
      <c r="J21" s="29"/>
      <c r="K21" s="29"/>
      <c r="L21" s="29"/>
    </row>
    <row r="22" spans="1:15">
      <c r="B22" s="2"/>
    </row>
  </sheetData>
  <mergeCells count="3">
    <mergeCell ref="A8:A11"/>
    <mergeCell ref="A13:A16"/>
    <mergeCell ref="A18:A2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EM2013</dc:creator>
  <cp:lastModifiedBy>EM2013</cp:lastModifiedBy>
  <dcterms:created xsi:type="dcterms:W3CDTF">2026-04-21T06:07:02Z</dcterms:created>
  <dcterms:modified xsi:type="dcterms:W3CDTF">2026-04-21T06:14:37Z</dcterms:modified>
</cp:coreProperties>
</file>