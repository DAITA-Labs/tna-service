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967B334-0BFC-4D0D-B70D-AEF54A61BD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" l="1"/>
  <c r="AJ6" i="1"/>
  <c r="AJ7" i="1"/>
  <c r="AJ8" i="1"/>
  <c r="AJ9" i="1"/>
  <c r="AJ10" i="1"/>
  <c r="AJ11" i="1"/>
  <c r="AJ12" i="1"/>
  <c r="AJ13" i="1"/>
  <c r="AJ14" i="1"/>
  <c r="AJ15" i="1"/>
  <c r="AJ16" i="1"/>
  <c r="AJ4" i="1"/>
  <c r="X17" i="1" l="1"/>
  <c r="AC17" i="1"/>
  <c r="AI17" i="1"/>
  <c r="AJ17" i="1"/>
  <c r="M1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<sst xmlns="http://schemas.openxmlformats.org/spreadsheetml/2006/main" count="149" uniqueCount="79">
  <si>
    <t>S.No</t>
  </si>
  <si>
    <t>Buyer</t>
  </si>
  <si>
    <t>Factory</t>
  </si>
  <si>
    <t>Customer Season</t>
  </si>
  <si>
    <t>Style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</si>
  <si>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</si>
  <si>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</si>
  <si>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</si>
  <si>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</si>
  <si>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</si>
  <si>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</si>
  <si>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</si>
  <si>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</si>
  <si>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</si>
  <si>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</si>
  <si>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</si>
  <si>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</si>
  <si>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PPS Submission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</si>
  <si>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</si>
  <si>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</si>
  <si>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</si>
  <si>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</si>
  <si>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</si>
  <si>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</si>
  <si>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</si>
  <si>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</si>
  <si>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</si>
  <si>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</si>
  <si>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</si>
  <si>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</si>
  <si>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</si>
  <si>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PPS Approved</t>
  </si>
  <si>
    <t>Extended</t>
  </si>
  <si>
    <t>MARC O'POLO INTERNATIONAL GMBH</t>
  </si>
  <si>
    <t>WARSAW INTERNATIONAL</t>
  </si>
  <si>
    <t>MANOS08</t>
  </si>
  <si>
    <t>CWJE NOS 90 1000000710 5000009477</t>
  </si>
  <si>
    <t>CIRCULAR KNIT WOMENS TSHIRT</t>
  </si>
  <si>
    <t>SLUB JERSEY/100% ORGANIC COTTON/20S/155/FABRIC DYED</t>
  </si>
  <si>
    <t>FABRIC DYE + PANEL WASH</t>
  </si>
  <si>
    <t>7000022249, 7000022251, 7000022252</t>
  </si>
  <si>
    <t>0163 WHITE</t>
  </si>
  <si>
    <t>26-FEB-2026</t>
  </si>
  <si>
    <t>10-MAY-2026</t>
  </si>
  <si>
    <t>28-APR-2026</t>
  </si>
  <si>
    <t>31-MAR-2026</t>
  </si>
  <si>
    <t>06-APR-2026</t>
  </si>
  <si>
    <t>4127-MANIAC MIDNIGHT</t>
  </si>
  <si>
    <t>0001 BLACK</t>
  </si>
  <si>
    <t>CWJE NOS 90 1000000710 5000009478</t>
  </si>
  <si>
    <t>7000022254, 7000022255, 7000022256</t>
  </si>
  <si>
    <t>MANOS07</t>
  </si>
  <si>
    <t>CWJE NOS 90 1000000711 5000009474</t>
  </si>
  <si>
    <t>SZ SLUB JERSEY/100% ORGANIC COTTON/20S/155/YARN DYED + PANEL WASH</t>
  </si>
  <si>
    <t>YARN DYED + PANEL WASH</t>
  </si>
  <si>
    <t>7000022247, 7000022248</t>
  </si>
  <si>
    <t>4441 DARK BLUE - MULTI 02</t>
  </si>
  <si>
    <t>29-APR-2026</t>
  </si>
  <si>
    <t>21-APR-2026</t>
  </si>
  <si>
    <t>2673-LIGHT BEIGE MULTI01</t>
  </si>
  <si>
    <t>CWJE NOS 90 1000001172 5000009473</t>
  </si>
  <si>
    <t>CIRCULAR KNIT WOMENS TANK TOP</t>
  </si>
  <si>
    <t>1X1 RIB/100% ORGANIC COTTON/48S////24GG/170//FABRIC DYED + PANEL WASHED</t>
  </si>
  <si>
    <t>7000022237, 7000022238</t>
  </si>
  <si>
    <t>CWJE NOS 90 1000001160 5000009467</t>
  </si>
  <si>
    <t>SINGLE JERSEY/96% ORGANIC COTTON 4% ELASTHANE/40S////28GG/160/20D/FABRIC DYED</t>
  </si>
  <si>
    <t>FABRIC DYED</t>
  </si>
  <si>
    <t>Grand Total</t>
  </si>
  <si>
    <t>Marc O'Polo Women Casual BNOS W26(1) - MANOS07 - 08 Order status Report - Bulk Production</t>
  </si>
  <si>
    <t>MANOS09</t>
  </si>
  <si>
    <t>7000023237, 7000023238</t>
  </si>
  <si>
    <t>26-MAR-2026</t>
  </si>
  <si>
    <t>11-JUN-2026</t>
  </si>
  <si>
    <t>19-MAY-2026</t>
  </si>
  <si>
    <t>05-MAY-2026</t>
  </si>
  <si>
    <t>BULK UNDER FINISHING</t>
  </si>
  <si>
    <t>SHIPPED</t>
  </si>
  <si>
    <t>READY TO SHIP</t>
  </si>
  <si>
    <t>BULK FABRIC READY TO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</si>
</sst>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name val="Open Sans"/>
    </font>
    <font>
      <b/>
      <sz val="12"/>
      <name val="Open Sans"/>
    </font>
    <font>
      <sz val="12"/>
      <name val="Open Sans"/>
    </font>
    <font>
      <sz val="12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5" fontId="3" fillId="4" borderId="1" xfId="0" applyNumberFormat="1" applyFont="1" applyFill="1" applyBorder="1" applyAlignment="1">
      <alignment horizontal="center"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5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7"/>
  <sheetViews>
    <sheetView tabSelected="1" topLeftCell="J1" zoomScale="70" zoomScaleNormal="70" workbookViewId="0">
      <selection activeCell="AF12" sqref="AF12:AF14"/>
    </sheetView>
  </sheetViews>
  <sheetFormatPr defaultRowHeight="14.4" x14ac:dyDescent="0.3"/>
  <cols>
    <col min="1" max="1" width="6" customWidth="1"/>
    <col min="2" max="3" width="20" customWidth="1"/>
    <col min="4" max="4" width="12" customWidth="1"/>
    <col min="5" max="6" width="20" customWidth="1"/>
    <col min="7" max="7" width="20.109375" customWidth="1"/>
    <col min="8" max="8" width="25" customWidth="1"/>
    <col min="9" max="10" width="15.44140625" customWidth="1"/>
    <col min="11" max="11" width="28.77734375" customWidth="1"/>
    <col min="12" max="13" width="10" customWidth="1"/>
    <col min="14" max="14" width="13.33203125" customWidth="1"/>
    <col min="15" max="15" width="13" customWidth="1"/>
    <col min="16" max="18" width="12" customWidth="1"/>
    <col min="19" max="19" width="12" style="8" customWidth="1"/>
    <col min="20" max="21" width="12" customWidth="1"/>
    <col min="22" max="22" width="11" customWidth="1"/>
    <col min="23" max="23" width="12" customWidth="1"/>
    <col min="24" max="24" width="11" customWidth="1"/>
    <col min="25" max="28" width="12" customWidth="1"/>
    <col min="29" max="29" width="10.44140625" customWidth="1"/>
    <col min="30" max="30" width="12" customWidth="1"/>
    <col min="31" max="31" width="11.88671875" customWidth="1"/>
    <col min="32" max="36" width="12" customWidth="1"/>
    <col min="37" max="37" width="31.5546875" customWidth="1"/>
  </cols>
  <sheetData>
    <row r="1" spans="1:37" ht="44.85" customHeight="1" x14ac:dyDescent="0.8">
      <c r="A1" s="19" t="s">
        <v>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7" ht="25.65" customHeight="1" x14ac:dyDescent="0.3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/>
      <c r="N2" s="18" t="s">
        <v>12</v>
      </c>
      <c r="O2" s="18" t="s">
        <v>13</v>
      </c>
      <c r="P2" s="18" t="s">
        <v>14</v>
      </c>
      <c r="Q2" s="18" t="s">
        <v>15</v>
      </c>
      <c r="R2" s="18"/>
      <c r="S2" s="18" t="s">
        <v>16</v>
      </c>
      <c r="T2" s="18"/>
      <c r="U2" s="18" t="s">
        <v>17</v>
      </c>
      <c r="V2" s="18"/>
      <c r="W2" s="18"/>
      <c r="X2" s="18" t="s">
        <v>18</v>
      </c>
      <c r="Y2" s="18" t="s">
        <v>19</v>
      </c>
      <c r="Z2" s="18"/>
      <c r="AA2" s="18" t="s">
        <v>20</v>
      </c>
      <c r="AB2" s="18"/>
      <c r="AC2" s="18" t="s">
        <v>21</v>
      </c>
      <c r="AD2" s="18" t="s">
        <v>22</v>
      </c>
      <c r="AE2" s="18"/>
      <c r="AF2" s="18" t="s">
        <v>23</v>
      </c>
      <c r="AG2" s="18"/>
      <c r="AH2" s="18"/>
      <c r="AI2" s="18" t="s">
        <v>24</v>
      </c>
      <c r="AJ2" s="18" t="s">
        <v>25</v>
      </c>
      <c r="AK2" s="18" t="s">
        <v>26</v>
      </c>
    </row>
    <row r="3" spans="1:37" ht="28.8" customHeigh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" t="s">
        <v>27</v>
      </c>
      <c r="M3" s="1" t="s">
        <v>28</v>
      </c>
      <c r="N3" s="18"/>
      <c r="O3" s="18"/>
      <c r="P3" s="18"/>
      <c r="Q3" s="1" t="s">
        <v>29</v>
      </c>
      <c r="R3" s="1" t="s">
        <v>30</v>
      </c>
      <c r="S3" s="1" t="s">
        <v>29</v>
      </c>
      <c r="T3" s="1" t="s">
        <v>30</v>
      </c>
      <c r="U3" s="1" t="s">
        <v>29</v>
      </c>
      <c r="V3" s="1" t="s">
        <v>30</v>
      </c>
      <c r="W3" s="1" t="s">
        <v>31</v>
      </c>
      <c r="X3" s="18"/>
      <c r="Y3" s="1" t="s">
        <v>29</v>
      </c>
      <c r="Z3" s="1" t="s">
        <v>30</v>
      </c>
      <c r="AA3" s="1" t="s">
        <v>29</v>
      </c>
      <c r="AB3" s="1" t="s">
        <v>30</v>
      </c>
      <c r="AC3" s="18"/>
      <c r="AD3" s="1" t="s">
        <v>29</v>
      </c>
      <c r="AE3" s="1" t="s">
        <v>30</v>
      </c>
      <c r="AF3" s="1" t="s">
        <v>29</v>
      </c>
      <c r="AG3" s="1" t="s">
        <v>30</v>
      </c>
      <c r="AH3" s="1" t="s">
        <v>32</v>
      </c>
      <c r="AI3" s="18"/>
      <c r="AJ3" s="18"/>
      <c r="AK3" s="18"/>
    </row>
    <row r="4" spans="1:37" ht="60" hidden="1" customHeight="1" x14ac:dyDescent="0.3">
      <c r="A4" s="13">
        <v>1</v>
      </c>
      <c r="B4" s="13" t="s">
        <v>33</v>
      </c>
      <c r="C4" s="13" t="s">
        <v>34</v>
      </c>
      <c r="D4" s="13" t="s">
        <v>51</v>
      </c>
      <c r="E4" s="13" t="s">
        <v>52</v>
      </c>
      <c r="F4" s="13" t="e" vm="1">
        <v>#VALUE!</v>
      </c>
      <c r="G4" s="13" t="s">
        <v>37</v>
      </c>
      <c r="H4" s="13" t="s">
        <v>53</v>
      </c>
      <c r="I4" s="13" t="s">
        <v>54</v>
      </c>
      <c r="J4" s="13" t="s">
        <v>55</v>
      </c>
      <c r="K4" s="2" t="s">
        <v>56</v>
      </c>
      <c r="L4" s="2">
        <v>670</v>
      </c>
      <c r="M4" s="13">
        <v>1230</v>
      </c>
      <c r="N4" s="13" t="s">
        <v>42</v>
      </c>
      <c r="O4" s="16" t="s">
        <v>57</v>
      </c>
      <c r="P4" s="13" t="s">
        <v>58</v>
      </c>
      <c r="Q4" s="14">
        <v>46101</v>
      </c>
      <c r="R4" s="15">
        <v>46101</v>
      </c>
      <c r="S4" s="14">
        <v>46079</v>
      </c>
      <c r="T4" s="15">
        <v>46079</v>
      </c>
      <c r="U4" s="13" t="s">
        <v>45</v>
      </c>
      <c r="V4" s="13"/>
      <c r="W4" s="11" t="s">
        <v>42</v>
      </c>
      <c r="X4" s="2">
        <v>710</v>
      </c>
      <c r="Y4" s="14">
        <v>46105</v>
      </c>
      <c r="Z4" s="15">
        <v>46105</v>
      </c>
      <c r="AA4" s="14">
        <v>46105</v>
      </c>
      <c r="AB4" s="15">
        <v>46105</v>
      </c>
      <c r="AC4" s="2">
        <v>708</v>
      </c>
      <c r="AD4" s="14">
        <v>46119</v>
      </c>
      <c r="AE4" s="15">
        <v>46119</v>
      </c>
      <c r="AF4" s="13" t="s">
        <v>57</v>
      </c>
      <c r="AG4" s="17">
        <v>46122</v>
      </c>
      <c r="AH4" s="13"/>
      <c r="AI4" s="10">
        <v>704</v>
      </c>
      <c r="AJ4" s="10">
        <f t="shared" ref="AJ4" si="0">AI4-L4</f>
        <v>34</v>
      </c>
      <c r="AK4" s="11" t="s">
        <v>76</v>
      </c>
    </row>
    <row r="5" spans="1:37" ht="60" hidden="1" customHeight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2" t="s">
        <v>59</v>
      </c>
      <c r="L5" s="2">
        <v>560</v>
      </c>
      <c r="M5" s="13"/>
      <c r="N5" s="13"/>
      <c r="O5" s="16"/>
      <c r="P5" s="13"/>
      <c r="Q5" s="13"/>
      <c r="R5" s="11"/>
      <c r="S5" s="13"/>
      <c r="T5" s="11"/>
      <c r="U5" s="13"/>
      <c r="V5" s="13"/>
      <c r="W5" s="11"/>
      <c r="X5" s="2">
        <v>606</v>
      </c>
      <c r="Y5" s="13"/>
      <c r="Z5" s="11"/>
      <c r="AA5" s="13"/>
      <c r="AB5" s="11"/>
      <c r="AC5" s="2">
        <v>600</v>
      </c>
      <c r="AD5" s="13"/>
      <c r="AE5" s="11"/>
      <c r="AF5" s="13"/>
      <c r="AG5" s="11"/>
      <c r="AH5" s="13"/>
      <c r="AI5" s="10">
        <v>598</v>
      </c>
      <c r="AJ5" s="10">
        <f t="shared" ref="AJ5:AJ16" si="1">AI5-L5</f>
        <v>38</v>
      </c>
      <c r="AK5" s="11"/>
    </row>
    <row r="6" spans="1:37" ht="60" hidden="1" customHeight="1" x14ac:dyDescent="0.3">
      <c r="A6" s="13">
        <v>2</v>
      </c>
      <c r="B6" s="13" t="s">
        <v>33</v>
      </c>
      <c r="C6" s="13" t="s">
        <v>34</v>
      </c>
      <c r="D6" s="13" t="s">
        <v>51</v>
      </c>
      <c r="E6" s="13" t="s">
        <v>60</v>
      </c>
      <c r="F6" s="13" t="e" vm="2">
        <v>#VALUE!</v>
      </c>
      <c r="G6" s="13" t="s">
        <v>61</v>
      </c>
      <c r="H6" s="13" t="s">
        <v>62</v>
      </c>
      <c r="I6" s="13" t="s">
        <v>39</v>
      </c>
      <c r="J6" s="13" t="s">
        <v>63</v>
      </c>
      <c r="K6" s="2" t="s">
        <v>41</v>
      </c>
      <c r="L6" s="2">
        <v>870</v>
      </c>
      <c r="M6" s="13">
        <v>1530</v>
      </c>
      <c r="N6" s="13" t="s">
        <v>42</v>
      </c>
      <c r="O6" s="16" t="s">
        <v>57</v>
      </c>
      <c r="P6" s="13" t="s">
        <v>58</v>
      </c>
      <c r="Q6" s="14">
        <v>46101</v>
      </c>
      <c r="R6" s="15">
        <v>46101</v>
      </c>
      <c r="S6" s="5">
        <v>46095</v>
      </c>
      <c r="T6" s="6">
        <v>46095</v>
      </c>
      <c r="U6" s="13" t="s">
        <v>45</v>
      </c>
      <c r="V6" s="13"/>
      <c r="W6" s="11" t="s">
        <v>42</v>
      </c>
      <c r="X6" s="2">
        <v>940</v>
      </c>
      <c r="Y6" s="14">
        <v>46112</v>
      </c>
      <c r="Z6" s="15">
        <v>46112</v>
      </c>
      <c r="AA6" s="14">
        <v>46114</v>
      </c>
      <c r="AB6" s="15">
        <v>46114</v>
      </c>
      <c r="AC6" s="2">
        <v>936</v>
      </c>
      <c r="AD6" s="14">
        <v>46126</v>
      </c>
      <c r="AE6" s="15">
        <v>46126</v>
      </c>
      <c r="AF6" s="13" t="s">
        <v>57</v>
      </c>
      <c r="AG6" s="17">
        <v>46132</v>
      </c>
      <c r="AH6" s="13"/>
      <c r="AI6" s="10">
        <v>930</v>
      </c>
      <c r="AJ6" s="10">
        <f t="shared" si="1"/>
        <v>60</v>
      </c>
      <c r="AK6" s="11" t="s">
        <v>76</v>
      </c>
    </row>
    <row r="7" spans="1:37" ht="60" hidden="1" customHeigh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2" t="s">
        <v>47</v>
      </c>
      <c r="L7" s="2">
        <v>660</v>
      </c>
      <c r="M7" s="13"/>
      <c r="N7" s="13"/>
      <c r="O7" s="16"/>
      <c r="P7" s="13"/>
      <c r="Q7" s="13"/>
      <c r="R7" s="11"/>
      <c r="S7" s="5">
        <v>46079</v>
      </c>
      <c r="T7" s="7">
        <v>46079</v>
      </c>
      <c r="U7" s="13"/>
      <c r="V7" s="13"/>
      <c r="W7" s="11"/>
      <c r="X7" s="2">
        <v>716</v>
      </c>
      <c r="Y7" s="13"/>
      <c r="Z7" s="11"/>
      <c r="AA7" s="13"/>
      <c r="AB7" s="11"/>
      <c r="AC7" s="2">
        <v>715</v>
      </c>
      <c r="AD7" s="13"/>
      <c r="AE7" s="11"/>
      <c r="AF7" s="13"/>
      <c r="AG7" s="11"/>
      <c r="AH7" s="13"/>
      <c r="AI7" s="10">
        <v>711</v>
      </c>
      <c r="AJ7" s="10">
        <f t="shared" si="1"/>
        <v>51</v>
      </c>
      <c r="AK7" s="11"/>
    </row>
    <row r="8" spans="1:37" ht="120" hidden="1" customHeight="1" x14ac:dyDescent="0.3">
      <c r="A8" s="2">
        <v>3</v>
      </c>
      <c r="B8" s="2" t="s">
        <v>33</v>
      </c>
      <c r="C8" s="2" t="s">
        <v>34</v>
      </c>
      <c r="D8" s="2" t="s">
        <v>51</v>
      </c>
      <c r="E8" s="2" t="s">
        <v>64</v>
      </c>
      <c r="F8" s="2" t="e" vm="3">
        <v>#VALUE!</v>
      </c>
      <c r="G8" s="2" t="s">
        <v>61</v>
      </c>
      <c r="H8" s="2" t="s">
        <v>65</v>
      </c>
      <c r="I8" s="2" t="s">
        <v>66</v>
      </c>
      <c r="J8" s="2">
        <v>7000022206</v>
      </c>
      <c r="K8" s="2" t="s">
        <v>41</v>
      </c>
      <c r="L8" s="2">
        <v>420</v>
      </c>
      <c r="M8" s="2">
        <v>420</v>
      </c>
      <c r="N8" s="2" t="s">
        <v>42</v>
      </c>
      <c r="O8" s="3" t="s">
        <v>57</v>
      </c>
      <c r="P8" s="2" t="s">
        <v>58</v>
      </c>
      <c r="Q8" s="5">
        <v>46101</v>
      </c>
      <c r="R8" s="6">
        <v>46101</v>
      </c>
      <c r="S8" s="5">
        <v>46079</v>
      </c>
      <c r="T8" s="6">
        <v>46079</v>
      </c>
      <c r="U8" s="2" t="s">
        <v>45</v>
      </c>
      <c r="V8" s="2"/>
      <c r="W8" s="4" t="s">
        <v>42</v>
      </c>
      <c r="X8" s="2">
        <v>454</v>
      </c>
      <c r="Y8" s="5">
        <v>46115</v>
      </c>
      <c r="Z8" s="6">
        <v>46115</v>
      </c>
      <c r="AA8" s="5">
        <v>46116</v>
      </c>
      <c r="AB8" s="6">
        <v>46116</v>
      </c>
      <c r="AC8" s="2">
        <v>450</v>
      </c>
      <c r="AD8" s="5">
        <v>46128</v>
      </c>
      <c r="AE8" s="6">
        <v>46128</v>
      </c>
      <c r="AF8" s="2" t="s">
        <v>57</v>
      </c>
      <c r="AG8" s="7">
        <v>46132</v>
      </c>
      <c r="AH8" s="2"/>
      <c r="AI8" s="10">
        <v>449</v>
      </c>
      <c r="AJ8" s="10">
        <f t="shared" si="1"/>
        <v>29</v>
      </c>
      <c r="AK8" s="4" t="s">
        <v>76</v>
      </c>
    </row>
    <row r="9" spans="1:37" ht="40.049999999999997" customHeight="1" x14ac:dyDescent="0.3">
      <c r="A9" s="13">
        <v>4</v>
      </c>
      <c r="B9" s="13" t="s">
        <v>33</v>
      </c>
      <c r="C9" s="13" t="s">
        <v>34</v>
      </c>
      <c r="D9" s="13" t="s">
        <v>35</v>
      </c>
      <c r="E9" s="13" t="s">
        <v>36</v>
      </c>
      <c r="F9" s="13" t="e" vm="4">
        <v>#VALUE!</v>
      </c>
      <c r="G9" s="13" t="s">
        <v>37</v>
      </c>
      <c r="H9" s="13" t="s">
        <v>38</v>
      </c>
      <c r="I9" s="13" t="s">
        <v>39</v>
      </c>
      <c r="J9" s="13" t="s">
        <v>40</v>
      </c>
      <c r="K9" s="2" t="s">
        <v>41</v>
      </c>
      <c r="L9" s="2">
        <v>2100</v>
      </c>
      <c r="M9" s="13">
        <v>4490</v>
      </c>
      <c r="N9" s="13" t="s">
        <v>42</v>
      </c>
      <c r="O9" s="16" t="s">
        <v>43</v>
      </c>
      <c r="P9" s="13" t="s">
        <v>44</v>
      </c>
      <c r="Q9" s="14">
        <v>46101</v>
      </c>
      <c r="R9" s="15">
        <v>46101</v>
      </c>
      <c r="S9" s="14">
        <v>46079</v>
      </c>
      <c r="T9" s="15">
        <v>46079</v>
      </c>
      <c r="U9" s="13" t="s">
        <v>46</v>
      </c>
      <c r="V9" s="13"/>
      <c r="W9" s="11" t="s">
        <v>42</v>
      </c>
      <c r="X9" s="2">
        <v>2210</v>
      </c>
      <c r="Y9" s="14">
        <v>46105</v>
      </c>
      <c r="Z9" s="15">
        <v>46105</v>
      </c>
      <c r="AA9" s="14">
        <v>46109</v>
      </c>
      <c r="AB9" s="15">
        <v>46109</v>
      </c>
      <c r="AC9" s="2">
        <v>2208</v>
      </c>
      <c r="AD9" s="14">
        <v>46125</v>
      </c>
      <c r="AE9" s="15">
        <v>46125</v>
      </c>
      <c r="AF9" s="13" t="s">
        <v>43</v>
      </c>
      <c r="AG9" s="13"/>
      <c r="AH9" s="13"/>
      <c r="AI9" s="10">
        <v>2206</v>
      </c>
      <c r="AJ9" s="10">
        <f t="shared" si="1"/>
        <v>106</v>
      </c>
      <c r="AK9" s="11" t="s">
        <v>77</v>
      </c>
    </row>
    <row r="10" spans="1:37" ht="40.049999999999997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2" t="s">
        <v>47</v>
      </c>
      <c r="L10" s="2">
        <v>1760</v>
      </c>
      <c r="M10" s="13"/>
      <c r="N10" s="13"/>
      <c r="O10" s="16"/>
      <c r="P10" s="13"/>
      <c r="Q10" s="13"/>
      <c r="R10" s="11"/>
      <c r="S10" s="13"/>
      <c r="T10" s="11"/>
      <c r="U10" s="13"/>
      <c r="V10" s="13"/>
      <c r="W10" s="11"/>
      <c r="X10" s="2">
        <v>1874</v>
      </c>
      <c r="Y10" s="13"/>
      <c r="Z10" s="11"/>
      <c r="AA10" s="13"/>
      <c r="AB10" s="11"/>
      <c r="AC10" s="2">
        <v>1870</v>
      </c>
      <c r="AD10" s="13"/>
      <c r="AE10" s="11"/>
      <c r="AF10" s="13"/>
      <c r="AG10" s="13"/>
      <c r="AH10" s="13"/>
      <c r="AI10" s="10">
        <v>1863</v>
      </c>
      <c r="AJ10" s="10">
        <f t="shared" si="1"/>
        <v>103</v>
      </c>
      <c r="AK10" s="11"/>
    </row>
    <row r="11" spans="1:37" ht="40.049999999999997" customHeight="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2" t="s">
        <v>48</v>
      </c>
      <c r="L11" s="2">
        <v>630</v>
      </c>
      <c r="M11" s="13"/>
      <c r="N11" s="13"/>
      <c r="O11" s="16"/>
      <c r="P11" s="13"/>
      <c r="Q11" s="13"/>
      <c r="R11" s="11"/>
      <c r="S11" s="13"/>
      <c r="T11" s="11"/>
      <c r="U11" s="13"/>
      <c r="V11" s="13"/>
      <c r="W11" s="11"/>
      <c r="X11" s="2">
        <v>692</v>
      </c>
      <c r="Y11" s="13"/>
      <c r="Z11" s="11"/>
      <c r="AA11" s="13"/>
      <c r="AB11" s="11"/>
      <c r="AC11" s="2">
        <v>690</v>
      </c>
      <c r="AD11" s="13"/>
      <c r="AE11" s="11"/>
      <c r="AF11" s="13"/>
      <c r="AG11" s="13"/>
      <c r="AH11" s="13"/>
      <c r="AI11" s="10">
        <v>679</v>
      </c>
      <c r="AJ11" s="10">
        <f t="shared" si="1"/>
        <v>49</v>
      </c>
      <c r="AK11" s="11"/>
    </row>
    <row r="12" spans="1:37" ht="40.049999999999997" customHeight="1" x14ac:dyDescent="0.3">
      <c r="A12" s="13">
        <v>5</v>
      </c>
      <c r="B12" s="13" t="s">
        <v>33</v>
      </c>
      <c r="C12" s="13" t="s">
        <v>34</v>
      </c>
      <c r="D12" s="13" t="s">
        <v>35</v>
      </c>
      <c r="E12" s="13" t="s">
        <v>49</v>
      </c>
      <c r="F12" s="13" t="e" vm="5">
        <v>#VALUE!</v>
      </c>
      <c r="G12" s="13" t="s">
        <v>37</v>
      </c>
      <c r="H12" s="13" t="s">
        <v>38</v>
      </c>
      <c r="I12" s="13" t="s">
        <v>39</v>
      </c>
      <c r="J12" s="13" t="s">
        <v>50</v>
      </c>
      <c r="K12" s="2" t="s">
        <v>41</v>
      </c>
      <c r="L12" s="2">
        <v>5200</v>
      </c>
      <c r="M12" s="13">
        <v>6840</v>
      </c>
      <c r="N12" s="13" t="s">
        <v>42</v>
      </c>
      <c r="O12" s="16" t="s">
        <v>43</v>
      </c>
      <c r="P12" s="13" t="s">
        <v>44</v>
      </c>
      <c r="Q12" s="14">
        <v>46101</v>
      </c>
      <c r="R12" s="15">
        <v>46101</v>
      </c>
      <c r="S12" s="5">
        <v>46101</v>
      </c>
      <c r="T12" s="6">
        <v>46101</v>
      </c>
      <c r="U12" s="13" t="s">
        <v>46</v>
      </c>
      <c r="V12" s="13"/>
      <c r="W12" s="11" t="s">
        <v>42</v>
      </c>
      <c r="X12" s="2">
        <v>5480</v>
      </c>
      <c r="Y12" s="14">
        <v>46113</v>
      </c>
      <c r="Z12" s="15">
        <v>46113</v>
      </c>
      <c r="AA12" s="14">
        <v>46121</v>
      </c>
      <c r="AB12" s="15">
        <v>46121</v>
      </c>
      <c r="AC12" s="2">
        <v>5468</v>
      </c>
      <c r="AD12" s="14">
        <v>46136</v>
      </c>
      <c r="AE12" s="13"/>
      <c r="AF12" s="13" t="s">
        <v>43</v>
      </c>
      <c r="AG12" s="13"/>
      <c r="AH12" s="13"/>
      <c r="AI12" s="10"/>
      <c r="AJ12" s="10">
        <f t="shared" si="1"/>
        <v>-5200</v>
      </c>
      <c r="AK12" s="13" t="s">
        <v>75</v>
      </c>
    </row>
    <row r="13" spans="1:37" ht="40.049999999999997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2" t="s">
        <v>47</v>
      </c>
      <c r="L13" s="2">
        <v>1050</v>
      </c>
      <c r="M13" s="13"/>
      <c r="N13" s="13"/>
      <c r="O13" s="16"/>
      <c r="P13" s="13"/>
      <c r="Q13" s="13"/>
      <c r="R13" s="11"/>
      <c r="S13" s="5">
        <v>46079</v>
      </c>
      <c r="T13" s="7">
        <v>46079</v>
      </c>
      <c r="U13" s="13"/>
      <c r="V13" s="13"/>
      <c r="W13" s="11"/>
      <c r="X13" s="2">
        <v>1110</v>
      </c>
      <c r="Y13" s="13"/>
      <c r="Z13" s="11"/>
      <c r="AA13" s="13"/>
      <c r="AB13" s="11"/>
      <c r="AC13" s="2">
        <v>1102</v>
      </c>
      <c r="AD13" s="13"/>
      <c r="AE13" s="13"/>
      <c r="AF13" s="13"/>
      <c r="AG13" s="13"/>
      <c r="AH13" s="13"/>
      <c r="AI13" s="10"/>
      <c r="AJ13" s="10">
        <f t="shared" si="1"/>
        <v>-1050</v>
      </c>
      <c r="AK13" s="13"/>
    </row>
    <row r="14" spans="1:37" ht="40.049999999999997" customHeigh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2" t="s">
        <v>48</v>
      </c>
      <c r="L14" s="2">
        <v>590</v>
      </c>
      <c r="M14" s="13"/>
      <c r="N14" s="13"/>
      <c r="O14" s="16"/>
      <c r="P14" s="13"/>
      <c r="Q14" s="13"/>
      <c r="R14" s="11"/>
      <c r="S14" s="5">
        <v>46079</v>
      </c>
      <c r="T14" s="7">
        <v>46079</v>
      </c>
      <c r="U14" s="13"/>
      <c r="V14" s="13"/>
      <c r="W14" s="11"/>
      <c r="X14" s="2">
        <v>630</v>
      </c>
      <c r="Y14" s="13"/>
      <c r="Z14" s="11"/>
      <c r="AA14" s="13"/>
      <c r="AB14" s="11"/>
      <c r="AC14" s="2">
        <v>630</v>
      </c>
      <c r="AD14" s="13"/>
      <c r="AE14" s="13"/>
      <c r="AF14" s="13"/>
      <c r="AG14" s="13"/>
      <c r="AH14" s="13"/>
      <c r="AI14" s="10"/>
      <c r="AJ14" s="10">
        <f t="shared" si="1"/>
        <v>-590</v>
      </c>
      <c r="AK14" s="13"/>
    </row>
    <row r="15" spans="1:37" ht="60" customHeight="1" x14ac:dyDescent="0.3">
      <c r="A15" s="20">
        <v>6</v>
      </c>
      <c r="B15" s="13" t="s">
        <v>33</v>
      </c>
      <c r="C15" s="13" t="s">
        <v>34</v>
      </c>
      <c r="D15" s="13" t="s">
        <v>69</v>
      </c>
      <c r="E15" s="13" t="s">
        <v>36</v>
      </c>
      <c r="F15" s="13" t="e" vm="6">
        <v>#VALUE!</v>
      </c>
      <c r="G15" s="13" t="s">
        <v>37</v>
      </c>
      <c r="H15" s="13" t="s">
        <v>38</v>
      </c>
      <c r="I15" s="13" t="s">
        <v>39</v>
      </c>
      <c r="J15" s="13" t="s">
        <v>70</v>
      </c>
      <c r="K15" s="2" t="s">
        <v>41</v>
      </c>
      <c r="L15" s="2">
        <v>1270</v>
      </c>
      <c r="M15" s="13">
        <v>2230</v>
      </c>
      <c r="N15" s="13" t="s">
        <v>71</v>
      </c>
      <c r="O15" s="16" t="s">
        <v>72</v>
      </c>
      <c r="P15" s="13" t="s">
        <v>73</v>
      </c>
      <c r="Q15" s="14">
        <v>46128</v>
      </c>
      <c r="R15" s="15">
        <v>46128</v>
      </c>
      <c r="S15" s="14">
        <v>46122</v>
      </c>
      <c r="T15" s="15">
        <v>46122</v>
      </c>
      <c r="U15" s="13" t="s">
        <v>74</v>
      </c>
      <c r="V15" s="13"/>
      <c r="W15" s="11" t="s">
        <v>71</v>
      </c>
      <c r="X15" s="2"/>
      <c r="Y15" s="14">
        <v>46148</v>
      </c>
      <c r="Z15" s="13"/>
      <c r="AA15" s="14">
        <v>46151</v>
      </c>
      <c r="AB15" s="13"/>
      <c r="AC15" s="2"/>
      <c r="AD15" s="14">
        <v>46154</v>
      </c>
      <c r="AE15" s="13"/>
      <c r="AF15" s="13" t="s">
        <v>72</v>
      </c>
      <c r="AG15" s="13"/>
      <c r="AH15" s="13"/>
      <c r="AI15" s="10"/>
      <c r="AJ15" s="10">
        <f t="shared" si="1"/>
        <v>-1270</v>
      </c>
      <c r="AK15" s="13" t="s">
        <v>78</v>
      </c>
    </row>
    <row r="16" spans="1:37" ht="60" customHeight="1" x14ac:dyDescent="0.3">
      <c r="A16" s="21"/>
      <c r="B16" s="13"/>
      <c r="C16" s="13"/>
      <c r="D16" s="13"/>
      <c r="E16" s="13"/>
      <c r="F16" s="13"/>
      <c r="G16" s="13"/>
      <c r="H16" s="13"/>
      <c r="I16" s="13"/>
      <c r="J16" s="13"/>
      <c r="K16" s="2" t="s">
        <v>47</v>
      </c>
      <c r="L16" s="2">
        <v>960</v>
      </c>
      <c r="M16" s="13"/>
      <c r="N16" s="13"/>
      <c r="O16" s="16"/>
      <c r="P16" s="13"/>
      <c r="Q16" s="13"/>
      <c r="R16" s="11"/>
      <c r="S16" s="13"/>
      <c r="T16" s="11"/>
      <c r="U16" s="13"/>
      <c r="V16" s="13"/>
      <c r="W16" s="11"/>
      <c r="X16" s="2"/>
      <c r="Y16" s="13"/>
      <c r="Z16" s="13"/>
      <c r="AA16" s="13"/>
      <c r="AB16" s="13"/>
      <c r="AC16" s="2"/>
      <c r="AD16" s="13"/>
      <c r="AE16" s="13"/>
      <c r="AF16" s="13"/>
      <c r="AG16" s="13"/>
      <c r="AH16" s="13"/>
      <c r="AI16" s="10"/>
      <c r="AJ16" s="10">
        <f t="shared" si="1"/>
        <v>-960</v>
      </c>
      <c r="AK16" s="13"/>
    </row>
    <row r="17" spans="1:36" ht="17.399999999999999" x14ac:dyDescent="0.3">
      <c r="A17" s="12" t="s">
        <v>67</v>
      </c>
      <c r="B17" s="12"/>
      <c r="C17" s="12"/>
      <c r="D17" s="12"/>
      <c r="E17" s="12"/>
      <c r="F17" s="12"/>
      <c r="G17" s="12"/>
      <c r="H17" s="12"/>
      <c r="M17" s="9">
        <f>SUM(M4:M16)</f>
        <v>16740</v>
      </c>
      <c r="X17" s="9">
        <f>SUM(X4:X16)</f>
        <v>15422</v>
      </c>
      <c r="AC17" s="9">
        <f>SUM(AC4:AC16)</f>
        <v>15377</v>
      </c>
      <c r="AI17" s="9">
        <f>SUM(AI4:AI16)</f>
        <v>8140</v>
      </c>
      <c r="AJ17" s="9">
        <f>SUM(AJ4:AJ16)</f>
        <v>-8600</v>
      </c>
    </row>
  </sheetData>
  <mergeCells count="180">
    <mergeCell ref="AG15:AG16"/>
    <mergeCell ref="AH15:AH16"/>
    <mergeCell ref="AK15:AK16"/>
    <mergeCell ref="A15:A16"/>
    <mergeCell ref="V15:V16"/>
    <mergeCell ref="W15:W16"/>
    <mergeCell ref="Y15:Y16"/>
    <mergeCell ref="Z15:Z16"/>
    <mergeCell ref="AA15:AA16"/>
    <mergeCell ref="AB15:AB16"/>
    <mergeCell ref="AD15:AD16"/>
    <mergeCell ref="AE15:AE16"/>
    <mergeCell ref="AF15:AF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A1:AD1"/>
    <mergeCell ref="L2:M2"/>
    <mergeCell ref="Q2:R2"/>
    <mergeCell ref="S2:T2"/>
    <mergeCell ref="U2:W2"/>
    <mergeCell ref="Y2:Z2"/>
    <mergeCell ref="AA2:AB2"/>
    <mergeCell ref="AD2:AE2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AF2:AH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N2:N3"/>
    <mergeCell ref="O2:O3"/>
    <mergeCell ref="AC2:AC3"/>
    <mergeCell ref="AG12:AG14"/>
    <mergeCell ref="AH12:AH14"/>
    <mergeCell ref="AK12:AK14"/>
    <mergeCell ref="U12:U14"/>
    <mergeCell ref="AA9:AA11"/>
    <mergeCell ref="AB9:AB11"/>
    <mergeCell ref="P2:P3"/>
    <mergeCell ref="X2:X3"/>
    <mergeCell ref="AD9:AD11"/>
    <mergeCell ref="AE9:AE11"/>
    <mergeCell ref="AF9:AF11"/>
    <mergeCell ref="AG9:AG11"/>
    <mergeCell ref="AH9:AH11"/>
    <mergeCell ref="AG4:AG5"/>
    <mergeCell ref="AH4:AH5"/>
    <mergeCell ref="AI2:AI3"/>
    <mergeCell ref="AJ2:AJ3"/>
    <mergeCell ref="AK2:AK3"/>
    <mergeCell ref="P9:P11"/>
    <mergeCell ref="Q9:Q11"/>
    <mergeCell ref="R9:R11"/>
    <mergeCell ref="U9:U11"/>
    <mergeCell ref="V9:V11"/>
    <mergeCell ref="W9:W11"/>
    <mergeCell ref="G12:G14"/>
    <mergeCell ref="H12:H14"/>
    <mergeCell ref="I12:I14"/>
    <mergeCell ref="J12:J14"/>
    <mergeCell ref="M12:M14"/>
    <mergeCell ref="N12:N14"/>
    <mergeCell ref="O12:O14"/>
    <mergeCell ref="P12:P14"/>
    <mergeCell ref="Q12:Q1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M4:M5"/>
    <mergeCell ref="N4:N5"/>
    <mergeCell ref="O4:O5"/>
    <mergeCell ref="P4:P5"/>
    <mergeCell ref="Q4:Q5"/>
    <mergeCell ref="R4:R5"/>
    <mergeCell ref="R12:R14"/>
    <mergeCell ref="S9:S11"/>
    <mergeCell ref="M9:M11"/>
    <mergeCell ref="N9:N11"/>
    <mergeCell ref="O9:O11"/>
    <mergeCell ref="AD4:AD5"/>
    <mergeCell ref="AE4:AE5"/>
    <mergeCell ref="AF4:AF5"/>
    <mergeCell ref="V12:V14"/>
    <mergeCell ref="U4:U5"/>
    <mergeCell ref="V4:V5"/>
    <mergeCell ref="W4:W5"/>
    <mergeCell ref="Y4:Y5"/>
    <mergeCell ref="Z4:Z5"/>
    <mergeCell ref="AA4:AA5"/>
    <mergeCell ref="AB4:AB5"/>
    <mergeCell ref="AD12:AD14"/>
    <mergeCell ref="AF12:AF14"/>
    <mergeCell ref="Y9:Y11"/>
    <mergeCell ref="Z9:Z11"/>
    <mergeCell ref="AK4:AK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M6:M7"/>
    <mergeCell ref="N6:N7"/>
    <mergeCell ref="O6:O7"/>
    <mergeCell ref="P6:P7"/>
    <mergeCell ref="Q6:Q7"/>
    <mergeCell ref="R6:R7"/>
    <mergeCell ref="S4:S5"/>
    <mergeCell ref="T4:T5"/>
    <mergeCell ref="AD6:AD7"/>
    <mergeCell ref="AE6:AE7"/>
    <mergeCell ref="AF6:AF7"/>
    <mergeCell ref="AG6:AG7"/>
    <mergeCell ref="AH6:AH7"/>
    <mergeCell ref="AK6:AK7"/>
    <mergeCell ref="A17:H17"/>
    <mergeCell ref="U6:U7"/>
    <mergeCell ref="V6:V7"/>
    <mergeCell ref="W6:W7"/>
    <mergeCell ref="Y6:Y7"/>
    <mergeCell ref="Z6:Z7"/>
    <mergeCell ref="AA6:AA7"/>
    <mergeCell ref="AB6:AB7"/>
    <mergeCell ref="AE12:AE14"/>
    <mergeCell ref="W12:W14"/>
    <mergeCell ref="Y12:Y14"/>
    <mergeCell ref="Z12:Z14"/>
    <mergeCell ref="AA12:AA14"/>
    <mergeCell ref="AB12:AB14"/>
    <mergeCell ref="AK9:AK11"/>
    <mergeCell ref="A12:A14"/>
    <mergeCell ref="B12:B14"/>
    <mergeCell ref="C12:C14"/>
    <mergeCell ref="D12:D14"/>
    <mergeCell ref="E12:E14"/>
    <mergeCell ref="F12:F14"/>
    <mergeCell ref="T9:T11"/>
    <mergeCell ref="J9:J11"/>
  </mergeCells>
  <pageMargins left="0.13" right="0.16" top="0.31" bottom="0.75" header="0.3" footer="0.3"/>
  <pageSetup paperSize="8" scale="39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2026-02-26T09:53:48Z</dcterms:created>
  <dcterms:modified xsi:type="dcterms:W3CDTF">2026-04-20T17:09:54Z</dcterms:modified>
  <cp:category/>
</cp:coreProperties>
</file>