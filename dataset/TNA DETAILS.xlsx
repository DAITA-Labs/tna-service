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9"/>
  </bookViews>
  <sheets>
    <sheet name="62329" sheetId="1" r:id="rId1"/>
    <sheet name="62330" sheetId="2" r:id="rId2"/>
    <sheet name="62338" sheetId="3" r:id="rId3"/>
    <sheet name="62328" sheetId="4" r:id="rId4"/>
    <sheet name="62339" sheetId="5" r:id="rId5"/>
    <sheet name="62950" sheetId="6" r:id="rId6"/>
    <sheet name="62951" sheetId="7" r:id="rId7"/>
    <sheet name="62949" sheetId="8" r:id="rId8"/>
    <sheet name="62336" sheetId="9" r:id="rId9"/>
    <sheet name="62265" sheetId="10" r:id="rId10"/>
    <sheet name="Sheet11" sheetId="11" state="hidden" r:id="rId11"/>
  </sheets>
  <calcPr calcId="124519"/>
</workbook>
</file>

<file path=xl/calcChain.xml><?xml version="1.0" encoding="utf-8"?>
<calcChain xmlns="http://schemas.openxmlformats.org/spreadsheetml/2006/main">
  <c r="L19" i="10"/>
  <c r="K19"/>
  <c r="I19" s="1"/>
  <c r="G19" s="1"/>
  <c r="E19" s="1"/>
  <c r="H3"/>
  <c r="H5" s="1"/>
  <c r="B3"/>
  <c r="L19" i="9"/>
  <c r="K19" s="1"/>
  <c r="I19" s="1"/>
  <c r="G19" s="1"/>
  <c r="E19" s="1"/>
  <c r="H3"/>
  <c r="H5" s="1"/>
  <c r="B3"/>
  <c r="L19" i="8"/>
  <c r="K19"/>
  <c r="I19"/>
  <c r="G19"/>
  <c r="E19"/>
  <c r="H3"/>
  <c r="H5" s="1"/>
  <c r="B3"/>
  <c r="L19" i="7"/>
  <c r="K19"/>
  <c r="I19"/>
  <c r="G19"/>
  <c r="E19"/>
  <c r="H3"/>
  <c r="H5" s="1"/>
  <c r="B3"/>
  <c r="L19" i="6"/>
  <c r="K19"/>
  <c r="I19" s="1"/>
  <c r="G19" s="1"/>
  <c r="E19" s="1"/>
  <c r="H3"/>
  <c r="H4" s="1"/>
  <c r="B3"/>
  <c r="L19" i="5"/>
  <c r="K19" s="1"/>
  <c r="I19" s="1"/>
  <c r="G19" s="1"/>
  <c r="E19" s="1"/>
  <c r="H3"/>
  <c r="H5" s="1"/>
  <c r="B3"/>
  <c r="L19" i="4"/>
  <c r="K19" s="1"/>
  <c r="I19" s="1"/>
  <c r="G19" s="1"/>
  <c r="E19" s="1"/>
  <c r="H3"/>
  <c r="H5" s="1"/>
  <c r="B3"/>
  <c r="L19" i="3"/>
  <c r="K19" s="1"/>
  <c r="I19" s="1"/>
  <c r="G19" s="1"/>
  <c r="E19" s="1"/>
  <c r="H3"/>
  <c r="H5" s="1"/>
  <c r="B3"/>
  <c r="L19" i="2"/>
  <c r="K19" s="1"/>
  <c r="I19" s="1"/>
  <c r="G19" s="1"/>
  <c r="E19" s="1"/>
  <c r="H4"/>
  <c r="C19" s="1"/>
  <c r="H3"/>
  <c r="H5" s="1"/>
  <c r="B3"/>
  <c r="L19" i="1"/>
  <c r="K19"/>
  <c r="I19"/>
  <c r="G19"/>
  <c r="E19"/>
  <c r="H3"/>
  <c r="H5" s="1"/>
  <c r="B3"/>
  <c r="H4" i="10" l="1"/>
  <c r="H4" i="9"/>
  <c r="H4" i="8"/>
  <c r="H4" i="7"/>
  <c r="N14" i="6"/>
  <c r="L14"/>
  <c r="J14"/>
  <c r="H14"/>
  <c r="F14"/>
  <c r="D14"/>
  <c r="O9"/>
  <c r="D19" s="1"/>
  <c r="F19" s="1"/>
  <c r="H19" s="1"/>
  <c r="J19" s="1"/>
  <c r="M9"/>
  <c r="K9"/>
  <c r="I9"/>
  <c r="G9"/>
  <c r="E9"/>
  <c r="C9"/>
  <c r="C19"/>
  <c r="M14"/>
  <c r="K14"/>
  <c r="I14"/>
  <c r="G14"/>
  <c r="E14"/>
  <c r="C14"/>
  <c r="N9"/>
  <c r="L9"/>
  <c r="J9"/>
  <c r="H9"/>
  <c r="F9"/>
  <c r="D9"/>
  <c r="H5"/>
  <c r="H4" i="5"/>
  <c r="H4" i="4"/>
  <c r="H4" i="3"/>
  <c r="C9" i="2"/>
  <c r="E9"/>
  <c r="G9"/>
  <c r="I9"/>
  <c r="K9"/>
  <c r="M9"/>
  <c r="O9"/>
  <c r="D19" s="1"/>
  <c r="F19" s="1"/>
  <c r="H19" s="1"/>
  <c r="J19" s="1"/>
  <c r="D14"/>
  <c r="F14"/>
  <c r="H14"/>
  <c r="J14"/>
  <c r="L14"/>
  <c r="N14"/>
  <c r="D9"/>
  <c r="F9"/>
  <c r="H9"/>
  <c r="J9"/>
  <c r="L9"/>
  <c r="N9"/>
  <c r="C14"/>
  <c r="E14"/>
  <c r="G14"/>
  <c r="I14"/>
  <c r="K14"/>
  <c r="M14"/>
  <c r="H4" i="1"/>
  <c r="C19" i="10" l="1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9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8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7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5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4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3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1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</calcChain>
</file>

<file path=xl/sharedStrings.xml><?xml version="1.0" encoding="utf-8"?>
<sst xmlns="http://schemas.openxmlformats.org/spreadsheetml/2006/main" count="850" uniqueCount="65">
  <si>
    <t>Orders Plan</t>
  </si>
  <si>
    <t>Date :</t>
  </si>
  <si>
    <t xml:space="preserve">Order receipt </t>
  </si>
  <si>
    <t>Order L/D</t>
  </si>
  <si>
    <t>Job No</t>
  </si>
  <si>
    <t>Ex-Fty date</t>
  </si>
  <si>
    <t>Pre-Prod  L/D</t>
  </si>
  <si>
    <t>Quantity :</t>
  </si>
  <si>
    <t>Delivery date</t>
  </si>
  <si>
    <t>Prodn L/D</t>
  </si>
  <si>
    <t>Pre-
Production
TNA</t>
  </si>
  <si>
    <t>L/D send</t>
  </si>
  <si>
    <t>L/D appl</t>
  </si>
  <si>
    <t>Fit send</t>
  </si>
  <si>
    <t>Fit appl</t>
  </si>
  <si>
    <t>A/W send</t>
  </si>
  <si>
    <t>A/W appl</t>
  </si>
  <si>
    <t>I/B Fab send</t>
  </si>
  <si>
    <t>I/B fab appl</t>
  </si>
  <si>
    <t>PP send</t>
  </si>
  <si>
    <t>PP appl</t>
  </si>
  <si>
    <t>FPT</t>
  </si>
  <si>
    <t>GPT</t>
  </si>
  <si>
    <t>PCD</t>
  </si>
  <si>
    <t>Plan</t>
  </si>
  <si>
    <t xml:space="preserve">Action </t>
  </si>
  <si>
    <t>Clear</t>
  </si>
  <si>
    <t>Deviation if any</t>
  </si>
  <si>
    <t>Fabric TNA</t>
  </si>
  <si>
    <t>Job sheet</t>
  </si>
  <si>
    <t>Consumption Locking</t>
  </si>
  <si>
    <t>Costing Freezed</t>
  </si>
  <si>
    <t>Yarn Req. deadline</t>
  </si>
  <si>
    <t>Yarn I/H</t>
  </si>
  <si>
    <t>Knit start</t>
  </si>
  <si>
    <t>Knit 
Complete</t>
  </si>
  <si>
    <t>Dyeing 
start</t>
  </si>
  <si>
    <t>Dyeing complete</t>
  </si>
  <si>
    <t>Finishing
start</t>
  </si>
  <si>
    <t>finishing
Complete</t>
  </si>
  <si>
    <t>Fabric I/H</t>
  </si>
  <si>
    <t>Action</t>
  </si>
  <si>
    <t>Production
 TNA</t>
  </si>
  <si>
    <t>Cutting 
start</t>
  </si>
  <si>
    <t>Cutting complete</t>
  </si>
  <si>
    <t>Prnt/Emb Start</t>
  </si>
  <si>
    <t>Prnt/Emb Complete</t>
  </si>
  <si>
    <t>Sewing Start</t>
  </si>
  <si>
    <t>Sewing 
Complete</t>
  </si>
  <si>
    <t>CIP start</t>
  </si>
  <si>
    <t>CIP complete</t>
  </si>
  <si>
    <t>Final Inspection</t>
  </si>
  <si>
    <t>U/sewing</t>
  </si>
  <si>
    <t>.</t>
  </si>
  <si>
    <t>NILL</t>
  </si>
  <si>
    <t>U/CUTTING</t>
  </si>
  <si>
    <t>U/INSP</t>
  </si>
  <si>
    <t>U/KNITTING</t>
  </si>
  <si>
    <t>U/DYEING</t>
  </si>
  <si>
    <t>U/packing</t>
  </si>
  <si>
    <t>JOB NO</t>
  </si>
  <si>
    <t>S.NO</t>
  </si>
  <si>
    <t>REMARKS</t>
  </si>
  <si>
    <t>New jobs opening date-   16-04-206</t>
  </si>
  <si>
    <t>Under prossecing jobs  for knitting,dyeing,cuting,sewing &amp; inspection</t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</si>
</sst>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\ &quot;Days&quot;"/>
    <numFmt numFmtId="166" formatCode="dd\.mm\.yyyy;@"/>
    <numFmt numFmtId="167" formatCode="d/mm/yy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left"/>
    </xf>
    <xf numFmtId="166" fontId="0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5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left"/>
    </xf>
    <xf numFmtId="164" fontId="0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4" fillId="0" borderId="3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5" fillId="2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167" fontId="0" fillId="0" borderId="1" xfId="0" applyNumberFormat="1" applyBorder="1"/>
    <xf numFmtId="167" fontId="0" fillId="0" borderId="0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opLeftCell="A4" workbookViewId="0">
      <selection activeCell="K20" sqref="K20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46053</v>
      </c>
      <c r="F3" s="1"/>
      <c r="G3" s="6" t="s">
        <v>3</v>
      </c>
      <c r="H3" s="7">
        <f>E4-E3</f>
        <v>65</v>
      </c>
      <c r="I3" s="1"/>
      <c r="J3" s="1"/>
      <c r="K3" s="1"/>
      <c r="L3" s="1"/>
    </row>
    <row r="4" spans="1:15">
      <c r="A4" s="3" t="s">
        <v>4</v>
      </c>
      <c r="B4" s="8">
        <v>62329</v>
      </c>
      <c r="D4" s="3" t="s">
        <v>5</v>
      </c>
      <c r="E4" s="9">
        <v>46118</v>
      </c>
      <c r="G4" s="6" t="s">
        <v>6</v>
      </c>
      <c r="H4" s="7">
        <f>H3*55%</f>
        <v>35.75</v>
      </c>
      <c r="I4" s="1"/>
      <c r="J4" s="1"/>
      <c r="K4" s="1"/>
      <c r="L4" s="1"/>
    </row>
    <row r="5" spans="1:15">
      <c r="A5" s="3" t="s">
        <v>7</v>
      </c>
      <c r="B5" s="8">
        <v>38670</v>
      </c>
      <c r="D5" s="3" t="s">
        <v>8</v>
      </c>
      <c r="E5" s="10">
        <v>46128</v>
      </c>
      <c r="F5" s="1"/>
      <c r="G5" s="6" t="s">
        <v>9</v>
      </c>
      <c r="H5" s="7">
        <f>H3*45%</f>
        <v>29.25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46058.362500000003</v>
      </c>
      <c r="D9" s="19">
        <f>E3+(H4*40%)</f>
        <v>46067.3</v>
      </c>
      <c r="E9" s="19">
        <f>E3+(H4*15%)</f>
        <v>46058.362500000003</v>
      </c>
      <c r="F9" s="19">
        <f>E3+(H4*50%)</f>
        <v>46070.875</v>
      </c>
      <c r="G9" s="19">
        <f>E3+(H4*25%)</f>
        <v>46061.9375</v>
      </c>
      <c r="H9" s="19">
        <f>E3+(H4*60%)</f>
        <v>46074.45</v>
      </c>
      <c r="I9" s="19">
        <f>E3+(H4*63%)</f>
        <v>46075.522499999999</v>
      </c>
      <c r="J9" s="19">
        <f>E3+(H4*70%)</f>
        <v>46078.025000000001</v>
      </c>
      <c r="K9" s="19">
        <f>E3+(H4*80%)</f>
        <v>46081.599999999999</v>
      </c>
      <c r="L9" s="19">
        <f>E3+(H4*95%)</f>
        <v>46086.962500000001</v>
      </c>
      <c r="M9" s="20">
        <f>E3+(H4*85%)</f>
        <v>46083.387499999997</v>
      </c>
      <c r="N9" s="20">
        <f>E3+(H4*105%)</f>
        <v>46090.537499999999</v>
      </c>
      <c r="O9" s="19">
        <f>E3+(H4*100%)</f>
        <v>46088.75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 t="s">
        <v>26</v>
      </c>
      <c r="M10" s="22" t="s">
        <v>26</v>
      </c>
      <c r="N10" s="22" t="s">
        <v>26</v>
      </c>
      <c r="O10" s="22" t="s">
        <v>26</v>
      </c>
    </row>
    <row r="11" spans="1:15" ht="22.5" customHeight="1">
      <c r="A11" s="23"/>
      <c r="B11" s="18" t="s">
        <v>27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46054.43</v>
      </c>
      <c r="D14" s="28">
        <f>E3+(H4*10%)</f>
        <v>46056.574999999997</v>
      </c>
      <c r="E14" s="28">
        <f>E3+(H4*10%)</f>
        <v>46056.574999999997</v>
      </c>
      <c r="F14" s="28">
        <f>E3+(H4*13%)</f>
        <v>46057.647499999999</v>
      </c>
      <c r="G14" s="20">
        <f>E3+(H4*25%)</f>
        <v>46061.9375</v>
      </c>
      <c r="H14" s="20">
        <f>E3+(H4*30%)</f>
        <v>46063.724999999999</v>
      </c>
      <c r="I14" s="20">
        <f>E3+(H4*48%)</f>
        <v>46070.16</v>
      </c>
      <c r="J14" s="20">
        <f>E3+(H4*50%)</f>
        <v>46070.875</v>
      </c>
      <c r="K14" s="20">
        <f>E3+(H4*78%)</f>
        <v>46080.885000000002</v>
      </c>
      <c r="L14" s="20">
        <f>E3+(H4*78%)</f>
        <v>46080.885000000002</v>
      </c>
      <c r="M14" s="20">
        <f>E3+(H4*83%)</f>
        <v>46082.672500000001</v>
      </c>
      <c r="N14" s="19">
        <f>E3+(H4*85%)</f>
        <v>46083.387499999997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26</v>
      </c>
      <c r="J15" s="22" t="s">
        <v>26</v>
      </c>
      <c r="K15" s="22" t="s">
        <v>26</v>
      </c>
      <c r="L15" s="22" t="s">
        <v>26</v>
      </c>
      <c r="M15" s="22" t="s">
        <v>26</v>
      </c>
      <c r="N15" s="22" t="s">
        <v>26</v>
      </c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46088.75</v>
      </c>
      <c r="D19" s="20">
        <f>O9+3</f>
        <v>46091.75</v>
      </c>
      <c r="E19" s="20">
        <f>G19-5</f>
        <v>46102</v>
      </c>
      <c r="F19" s="20">
        <f>D19+5</f>
        <v>46096.75</v>
      </c>
      <c r="G19" s="20">
        <f>I19-3</f>
        <v>46107</v>
      </c>
      <c r="H19" s="20">
        <f>F19+5</f>
        <v>46101.75</v>
      </c>
      <c r="I19" s="20">
        <f>K19-4</f>
        <v>46110</v>
      </c>
      <c r="J19" s="20">
        <f>H19+10</f>
        <v>46111.75</v>
      </c>
      <c r="K19" s="20">
        <f>L19-1</f>
        <v>46114</v>
      </c>
      <c r="L19" s="20">
        <f>E4-3</f>
        <v>46115</v>
      </c>
    </row>
    <row r="20" spans="1:15" ht="22.5" customHeight="1">
      <c r="A20" s="31"/>
      <c r="B20" s="22" t="s">
        <v>26</v>
      </c>
      <c r="C20" s="22" t="s">
        <v>26</v>
      </c>
      <c r="D20" s="22" t="s">
        <v>26</v>
      </c>
      <c r="E20" s="22" t="s">
        <v>26</v>
      </c>
      <c r="F20" s="22" t="s">
        <v>26</v>
      </c>
      <c r="G20" s="22" t="s">
        <v>26</v>
      </c>
      <c r="H20" s="22" t="s">
        <v>52</v>
      </c>
      <c r="I20" s="22" t="s">
        <v>52</v>
      </c>
      <c r="J20" s="22" t="s">
        <v>59</v>
      </c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topLeftCell="A7" workbookViewId="0">
      <selection activeCell="D20" sqref="D20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46053</v>
      </c>
      <c r="F3" s="1"/>
      <c r="G3" s="6" t="s">
        <v>3</v>
      </c>
      <c r="H3" s="7">
        <f>E4-E3</f>
        <v>126</v>
      </c>
      <c r="I3" s="1"/>
      <c r="J3" s="1"/>
      <c r="K3" s="1"/>
      <c r="L3" s="1"/>
    </row>
    <row r="4" spans="1:15">
      <c r="A4" s="3" t="s">
        <v>4</v>
      </c>
      <c r="B4" s="8">
        <v>62330</v>
      </c>
      <c r="D4" s="3" t="s">
        <v>5</v>
      </c>
      <c r="E4" s="9">
        <v>46179</v>
      </c>
      <c r="G4" s="6" t="s">
        <v>6</v>
      </c>
      <c r="H4" s="7">
        <f>H3*55%</f>
        <v>69.300000000000011</v>
      </c>
      <c r="I4" s="1"/>
      <c r="J4" s="1"/>
      <c r="K4" s="1"/>
      <c r="L4" s="1"/>
    </row>
    <row r="5" spans="1:15">
      <c r="A5" s="3" t="s">
        <v>7</v>
      </c>
      <c r="B5" s="8">
        <v>14700</v>
      </c>
      <c r="D5" s="3" t="s">
        <v>8</v>
      </c>
      <c r="E5" s="10">
        <v>46190</v>
      </c>
      <c r="F5" s="1"/>
      <c r="G5" s="6" t="s">
        <v>9</v>
      </c>
      <c r="H5" s="7">
        <f>H3*45%</f>
        <v>56.7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46063.394999999997</v>
      </c>
      <c r="D9" s="19">
        <f>E3+(H4*40%)</f>
        <v>46080.72</v>
      </c>
      <c r="E9" s="19">
        <f>E3+(H4*15%)</f>
        <v>46063.394999999997</v>
      </c>
      <c r="F9" s="19">
        <f>E3+(H4*50%)</f>
        <v>46087.65</v>
      </c>
      <c r="G9" s="19">
        <f>E3+(H4*25%)</f>
        <v>46070.324999999997</v>
      </c>
      <c r="H9" s="19">
        <f>E3+(H4*60%)</f>
        <v>46094.58</v>
      </c>
      <c r="I9" s="19">
        <f>E3+(H4*63%)</f>
        <v>46096.659</v>
      </c>
      <c r="J9" s="19">
        <f>E3+(H4*70%)</f>
        <v>46101.51</v>
      </c>
      <c r="K9" s="19">
        <f>E3+(H4*80%)</f>
        <v>46108.44</v>
      </c>
      <c r="L9" s="19">
        <f>E3+(H4*95%)</f>
        <v>46118.834999999999</v>
      </c>
      <c r="M9" s="20">
        <f>E3+(H4*85%)</f>
        <v>46111.904999999999</v>
      </c>
      <c r="N9" s="20">
        <f>E3+(H4*105%)</f>
        <v>46125.764999999999</v>
      </c>
      <c r="O9" s="19">
        <f>E3+(H4*100%)</f>
        <v>46122.3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 t="s">
        <v>26</v>
      </c>
      <c r="M10" s="22" t="s">
        <v>26</v>
      </c>
      <c r="N10" s="22" t="s">
        <v>26</v>
      </c>
      <c r="O10" s="22" t="s">
        <v>26</v>
      </c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46055.771999999997</v>
      </c>
      <c r="D14" s="28">
        <f>E3+(H4*10%)</f>
        <v>46059.93</v>
      </c>
      <c r="E14" s="28">
        <f>E3+(H4*10%)</f>
        <v>46059.93</v>
      </c>
      <c r="F14" s="28">
        <f>E3+(H4*13%)</f>
        <v>46062.008999999998</v>
      </c>
      <c r="G14" s="20">
        <f>E3+(H4*25%)</f>
        <v>46070.324999999997</v>
      </c>
      <c r="H14" s="20">
        <f>E3+(H4*30%)</f>
        <v>46073.79</v>
      </c>
      <c r="I14" s="20">
        <f>E3+(H4*48%)</f>
        <v>46086.264000000003</v>
      </c>
      <c r="J14" s="20">
        <f>E3+(H4*50%)</f>
        <v>46087.65</v>
      </c>
      <c r="K14" s="20">
        <f>E3+(H4*78%)</f>
        <v>46107.053999999996</v>
      </c>
      <c r="L14" s="20">
        <f>E3+(H4*78%)</f>
        <v>46107.053999999996</v>
      </c>
      <c r="M14" s="20">
        <f>E3+(H4*83%)</f>
        <v>46110.519</v>
      </c>
      <c r="N14" s="19">
        <f>E3+(H4*85%)</f>
        <v>46111.904999999999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26</v>
      </c>
      <c r="J15" s="22" t="s">
        <v>26</v>
      </c>
      <c r="K15" s="22" t="s">
        <v>26</v>
      </c>
      <c r="L15" s="22" t="s">
        <v>26</v>
      </c>
      <c r="M15" s="22" t="s">
        <v>26</v>
      </c>
      <c r="N15" s="22" t="s">
        <v>26</v>
      </c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46122.3</v>
      </c>
      <c r="D19" s="20">
        <f>O9+3</f>
        <v>46125.3</v>
      </c>
      <c r="E19" s="20">
        <f>G19-5</f>
        <v>46163</v>
      </c>
      <c r="F19" s="20">
        <f>D19+5</f>
        <v>46130.3</v>
      </c>
      <c r="G19" s="20">
        <f>I19-3</f>
        <v>46168</v>
      </c>
      <c r="H19" s="20">
        <f>F19+5</f>
        <v>46135.3</v>
      </c>
      <c r="I19" s="20">
        <f>K19-4</f>
        <v>46171</v>
      </c>
      <c r="J19" s="20">
        <f>H19+10</f>
        <v>46145.3</v>
      </c>
      <c r="K19" s="20">
        <f>L19-1</f>
        <v>46175</v>
      </c>
      <c r="L19" s="20">
        <f>E4-3</f>
        <v>46176</v>
      </c>
    </row>
    <row r="20" spans="1:15" ht="22.5" customHeight="1">
      <c r="A20" s="31"/>
      <c r="B20" s="22" t="s">
        <v>26</v>
      </c>
      <c r="C20" s="22" t="s">
        <v>26</v>
      </c>
      <c r="D20" s="22" t="s">
        <v>55</v>
      </c>
      <c r="E20" s="22" t="s">
        <v>55</v>
      </c>
      <c r="F20" s="22" t="s">
        <v>54</v>
      </c>
      <c r="G20" s="22" t="s">
        <v>54</v>
      </c>
      <c r="H20" s="22" t="s">
        <v>52</v>
      </c>
      <c r="I20" s="22" t="s">
        <v>52</v>
      </c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topLeftCell="A7" workbookViewId="0">
      <selection activeCell="D20" sqref="D20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46045</v>
      </c>
      <c r="F3" s="1"/>
      <c r="G3" s="6" t="s">
        <v>3</v>
      </c>
      <c r="H3" s="7">
        <f>E4-E3</f>
        <v>73</v>
      </c>
      <c r="I3" s="1"/>
      <c r="J3" s="1"/>
      <c r="K3" s="1"/>
      <c r="L3" s="1"/>
    </row>
    <row r="4" spans="1:15">
      <c r="A4" s="3" t="s">
        <v>4</v>
      </c>
      <c r="B4" s="8">
        <v>62338</v>
      </c>
      <c r="D4" s="3" t="s">
        <v>5</v>
      </c>
      <c r="E4" s="19">
        <v>46118</v>
      </c>
      <c r="G4" s="6" t="s">
        <v>6</v>
      </c>
      <c r="H4" s="7">
        <f>H3*55%</f>
        <v>40.150000000000006</v>
      </c>
      <c r="I4" s="1"/>
      <c r="J4" s="1"/>
      <c r="K4" s="1"/>
      <c r="L4" s="1"/>
    </row>
    <row r="5" spans="1:15">
      <c r="A5" s="3" t="s">
        <v>7</v>
      </c>
      <c r="B5" s="8">
        <v>21204</v>
      </c>
      <c r="D5" s="3" t="s">
        <v>8</v>
      </c>
      <c r="E5" s="10">
        <v>46128</v>
      </c>
      <c r="F5" s="1"/>
      <c r="G5" s="6" t="s">
        <v>9</v>
      </c>
      <c r="H5" s="7">
        <f>H3*45%</f>
        <v>32.85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46051.022499999999</v>
      </c>
      <c r="D9" s="19">
        <f>E3+(H4*40%)</f>
        <v>46061.06</v>
      </c>
      <c r="E9" s="19">
        <f>E3+(H4*15%)</f>
        <v>46051.022499999999</v>
      </c>
      <c r="F9" s="19">
        <f>E3+(H4*50%)</f>
        <v>46065.074999999997</v>
      </c>
      <c r="G9" s="19">
        <f>E3+(H4*25%)</f>
        <v>46055.037499999999</v>
      </c>
      <c r="H9" s="19">
        <f>E3+(H4*60%)</f>
        <v>46069.09</v>
      </c>
      <c r="I9" s="19">
        <f>E3+(H4*63%)</f>
        <v>46070.294500000004</v>
      </c>
      <c r="J9" s="19">
        <f>E3+(H4*70%)</f>
        <v>46073.105000000003</v>
      </c>
      <c r="K9" s="19">
        <f>E3+(H4*80%)</f>
        <v>46077.120000000003</v>
      </c>
      <c r="L9" s="19">
        <f>E3+(H4*95%)</f>
        <v>46083.142500000002</v>
      </c>
      <c r="M9" s="20">
        <f>E3+(H4*85%)</f>
        <v>46079.127500000002</v>
      </c>
      <c r="N9" s="20">
        <f>E3+(H4*105%)</f>
        <v>46087.157500000001</v>
      </c>
      <c r="O9" s="19">
        <f>E3+(H4*100%)</f>
        <v>46085.15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 t="s">
        <v>26</v>
      </c>
      <c r="M10" s="22" t="s">
        <v>26</v>
      </c>
      <c r="N10" s="22" t="s">
        <v>26</v>
      </c>
      <c r="O10" s="22" t="s">
        <v>26</v>
      </c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46046.606</v>
      </c>
      <c r="D14" s="28">
        <f>E3+(H4*10%)</f>
        <v>46049.014999999999</v>
      </c>
      <c r="E14" s="28">
        <f>E3+(H4*10%)</f>
        <v>46049.014999999999</v>
      </c>
      <c r="F14" s="28">
        <f>E3+(H4*13%)</f>
        <v>46050.219499999999</v>
      </c>
      <c r="G14" s="20">
        <f>E3+(H4*25%)</f>
        <v>46055.037499999999</v>
      </c>
      <c r="H14" s="20">
        <f>E3+(H4*30%)</f>
        <v>46057.044999999998</v>
      </c>
      <c r="I14" s="20">
        <f>E3+(H4*48%)</f>
        <v>46064.271999999997</v>
      </c>
      <c r="J14" s="20">
        <f>E3+(H4*50%)</f>
        <v>46065.074999999997</v>
      </c>
      <c r="K14" s="20">
        <f>E3+(H4*78%)</f>
        <v>46076.317000000003</v>
      </c>
      <c r="L14" s="20">
        <f>E3+(H4*78%)</f>
        <v>46076.317000000003</v>
      </c>
      <c r="M14" s="20">
        <f>E3+(H4*83%)</f>
        <v>46078.324500000002</v>
      </c>
      <c r="N14" s="19">
        <f>E3+(H4*85%)</f>
        <v>46079.127500000002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26</v>
      </c>
      <c r="J15" s="22" t="s">
        <v>26</v>
      </c>
      <c r="K15" s="22" t="s">
        <v>26</v>
      </c>
      <c r="L15" s="22" t="s">
        <v>26</v>
      </c>
      <c r="M15" s="22" t="s">
        <v>26</v>
      </c>
      <c r="N15" s="22" t="s">
        <v>26</v>
      </c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46085.15</v>
      </c>
      <c r="D19" s="20">
        <f>O9+3</f>
        <v>46088.15</v>
      </c>
      <c r="E19" s="20">
        <f>G19-5</f>
        <v>46102</v>
      </c>
      <c r="F19" s="20">
        <f>D19+5</f>
        <v>46093.15</v>
      </c>
      <c r="G19" s="20">
        <f>I19-3</f>
        <v>46107</v>
      </c>
      <c r="H19" s="20">
        <f>F19+5</f>
        <v>46098.15</v>
      </c>
      <c r="I19" s="20">
        <f>K19-4</f>
        <v>46110</v>
      </c>
      <c r="J19" s="20">
        <f>H19+10</f>
        <v>46108.15</v>
      </c>
      <c r="K19" s="20">
        <f>L19-1</f>
        <v>46114</v>
      </c>
      <c r="L19" s="20">
        <f>E4-3</f>
        <v>46115</v>
      </c>
    </row>
    <row r="20" spans="1:15" ht="22.5" customHeight="1">
      <c r="A20" s="31"/>
      <c r="B20" s="22" t="s">
        <v>26</v>
      </c>
      <c r="C20" s="22" t="s">
        <v>26</v>
      </c>
      <c r="D20" s="22" t="s">
        <v>26</v>
      </c>
      <c r="E20" s="22" t="s">
        <v>26</v>
      </c>
      <c r="F20" s="22" t="s">
        <v>54</v>
      </c>
      <c r="G20" s="22" t="s">
        <v>54</v>
      </c>
      <c r="H20" s="22" t="s">
        <v>52</v>
      </c>
      <c r="I20" s="22" t="s">
        <v>52</v>
      </c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sqref="A1:XFD104857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46044</v>
      </c>
      <c r="F3" s="1"/>
      <c r="G3" s="6" t="s">
        <v>3</v>
      </c>
      <c r="H3" s="7">
        <f>E4-E3</f>
        <v>107</v>
      </c>
      <c r="I3" s="1"/>
      <c r="J3" s="1"/>
      <c r="K3" s="1"/>
      <c r="L3" s="1"/>
    </row>
    <row r="4" spans="1:15">
      <c r="A4" s="3" t="s">
        <v>4</v>
      </c>
      <c r="B4" s="8">
        <v>62328</v>
      </c>
      <c r="D4" s="3" t="s">
        <v>5</v>
      </c>
      <c r="E4" s="19">
        <v>46151</v>
      </c>
      <c r="G4" s="6" t="s">
        <v>6</v>
      </c>
      <c r="H4" s="7">
        <f>H3*55%</f>
        <v>58.85</v>
      </c>
      <c r="I4" s="1"/>
      <c r="J4" s="1"/>
      <c r="K4" s="1"/>
      <c r="L4" s="1"/>
    </row>
    <row r="5" spans="1:15">
      <c r="A5" s="3" t="s">
        <v>7</v>
      </c>
      <c r="B5" s="8">
        <v>7200</v>
      </c>
      <c r="D5" s="3" t="s">
        <v>8</v>
      </c>
      <c r="E5" s="10">
        <v>46161</v>
      </c>
      <c r="F5" s="1"/>
      <c r="G5" s="6" t="s">
        <v>9</v>
      </c>
      <c r="H5" s="7">
        <f>H3*45%</f>
        <v>48.15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46052.827499999999</v>
      </c>
      <c r="D9" s="19">
        <f>E3+(H4*40%)</f>
        <v>46067.54</v>
      </c>
      <c r="E9" s="19">
        <f>E3+(H4*15%)</f>
        <v>46052.827499999999</v>
      </c>
      <c r="F9" s="19">
        <f>E3+(H4*50%)</f>
        <v>46073.425000000003</v>
      </c>
      <c r="G9" s="19">
        <f>E3+(H4*25%)</f>
        <v>46058.712500000001</v>
      </c>
      <c r="H9" s="19">
        <f>E3+(H4*60%)</f>
        <v>46079.31</v>
      </c>
      <c r="I9" s="19">
        <f>E3+(H4*63%)</f>
        <v>46081.075499999999</v>
      </c>
      <c r="J9" s="19">
        <f>E3+(H4*70%)</f>
        <v>46085.195</v>
      </c>
      <c r="K9" s="19">
        <f>E3+(H4*80%)</f>
        <v>46091.08</v>
      </c>
      <c r="L9" s="19">
        <f>E3+(H4*95%)</f>
        <v>46099.907500000001</v>
      </c>
      <c r="M9" s="20">
        <f>E3+(H4*85%)</f>
        <v>46094.022499999999</v>
      </c>
      <c r="N9" s="20">
        <f>E3+(H4*105%)</f>
        <v>46105.792500000003</v>
      </c>
      <c r="O9" s="19">
        <f>E3+(H4*100%)</f>
        <v>46102.85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 t="s">
        <v>26</v>
      </c>
      <c r="M10" s="22" t="s">
        <v>26</v>
      </c>
      <c r="N10" s="22" t="s">
        <v>26</v>
      </c>
      <c r="O10" s="22" t="s">
        <v>26</v>
      </c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46046.353999999999</v>
      </c>
      <c r="D14" s="28">
        <f>E3+(H4*10%)</f>
        <v>46049.885000000002</v>
      </c>
      <c r="E14" s="28">
        <f>E3+(H4*10%)</f>
        <v>46049.885000000002</v>
      </c>
      <c r="F14" s="28">
        <f>E3+(H4*13%)</f>
        <v>46051.650500000003</v>
      </c>
      <c r="G14" s="20">
        <f>E3+(H4*25%)</f>
        <v>46058.712500000001</v>
      </c>
      <c r="H14" s="20">
        <f>E3+(H4*30%)</f>
        <v>46061.654999999999</v>
      </c>
      <c r="I14" s="20">
        <f>E3+(H4*48%)</f>
        <v>46072.248</v>
      </c>
      <c r="J14" s="20">
        <f>E3+(H4*50%)</f>
        <v>46073.425000000003</v>
      </c>
      <c r="K14" s="20">
        <f>E3+(H4*78%)</f>
        <v>46089.902999999998</v>
      </c>
      <c r="L14" s="20">
        <f>E3+(H4*78%)</f>
        <v>46089.902999999998</v>
      </c>
      <c r="M14" s="20">
        <f>E3+(H4*83%)</f>
        <v>46092.845500000003</v>
      </c>
      <c r="N14" s="19">
        <f>E3+(H4*85%)</f>
        <v>46094.022499999999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26</v>
      </c>
      <c r="J15" s="22" t="s">
        <v>26</v>
      </c>
      <c r="K15" s="22" t="s">
        <v>26</v>
      </c>
      <c r="L15" s="22" t="s">
        <v>26</v>
      </c>
      <c r="M15" s="22" t="s">
        <v>26</v>
      </c>
      <c r="N15" s="22" t="s">
        <v>26</v>
      </c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46102.85</v>
      </c>
      <c r="D19" s="20">
        <f>O9+3</f>
        <v>46105.85</v>
      </c>
      <c r="E19" s="20">
        <f>G19-5</f>
        <v>46135</v>
      </c>
      <c r="F19" s="20">
        <f>D19+5</f>
        <v>46110.85</v>
      </c>
      <c r="G19" s="20">
        <f>I19-3</f>
        <v>46140</v>
      </c>
      <c r="H19" s="20">
        <f>F19+5</f>
        <v>46115.85</v>
      </c>
      <c r="I19" s="20">
        <f>K19-4</f>
        <v>46143</v>
      </c>
      <c r="J19" s="20">
        <f>H19+10</f>
        <v>46125.85</v>
      </c>
      <c r="K19" s="20">
        <f>L19-1</f>
        <v>46147</v>
      </c>
      <c r="L19" s="20">
        <f>E4-3</f>
        <v>46148</v>
      </c>
    </row>
    <row r="20" spans="1:15" ht="22.5" customHeight="1">
      <c r="A20" s="31"/>
      <c r="B20" s="22" t="s">
        <v>26</v>
      </c>
      <c r="C20" s="22" t="s">
        <v>26</v>
      </c>
      <c r="D20" s="22" t="s">
        <v>26</v>
      </c>
      <c r="E20" s="22" t="s">
        <v>26</v>
      </c>
      <c r="F20" s="22" t="s">
        <v>26</v>
      </c>
      <c r="G20" s="22" t="s">
        <v>26</v>
      </c>
      <c r="H20" s="22" t="s">
        <v>52</v>
      </c>
      <c r="I20" s="22" t="s">
        <v>52</v>
      </c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activeCell="D20" sqref="D20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46045</v>
      </c>
      <c r="F3" s="1"/>
      <c r="G3" s="6" t="s">
        <v>3</v>
      </c>
      <c r="H3" s="7">
        <f>E4-E3</f>
        <v>104</v>
      </c>
      <c r="I3" s="1"/>
      <c r="J3" s="1"/>
      <c r="K3" s="1"/>
      <c r="L3" s="1"/>
    </row>
    <row r="4" spans="1:15">
      <c r="A4" s="3" t="s">
        <v>4</v>
      </c>
      <c r="B4" s="8">
        <v>62339</v>
      </c>
      <c r="D4" s="3" t="s">
        <v>5</v>
      </c>
      <c r="E4" s="19">
        <v>46149</v>
      </c>
      <c r="G4" s="6" t="s">
        <v>6</v>
      </c>
      <c r="H4" s="7">
        <f>H3*55%</f>
        <v>57.2</v>
      </c>
      <c r="I4" s="1"/>
      <c r="J4" s="1"/>
      <c r="K4" s="1"/>
      <c r="L4" s="1"/>
    </row>
    <row r="5" spans="1:15">
      <c r="A5" s="3" t="s">
        <v>7</v>
      </c>
      <c r="B5" s="8">
        <v>329124</v>
      </c>
      <c r="D5" s="3" t="s">
        <v>8</v>
      </c>
      <c r="E5" s="10">
        <v>46159</v>
      </c>
      <c r="F5" s="1"/>
      <c r="G5" s="6" t="s">
        <v>9</v>
      </c>
      <c r="H5" s="7">
        <f>H3*45%</f>
        <v>46.800000000000004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46053.58</v>
      </c>
      <c r="D9" s="19">
        <f>E3+(H4*40%)</f>
        <v>46067.88</v>
      </c>
      <c r="E9" s="19">
        <f>E3+(H4*15%)</f>
        <v>46053.58</v>
      </c>
      <c r="F9" s="19">
        <f>E3+(H4*50%)</f>
        <v>46073.599999999999</v>
      </c>
      <c r="G9" s="19">
        <f>E3+(H4*25%)</f>
        <v>46059.3</v>
      </c>
      <c r="H9" s="19">
        <f>E3+(H4*60%)</f>
        <v>46079.32</v>
      </c>
      <c r="I9" s="19">
        <f>E3+(H4*63%)</f>
        <v>46081.036</v>
      </c>
      <c r="J9" s="19">
        <f>E3+(H4*70%)</f>
        <v>46085.04</v>
      </c>
      <c r="K9" s="19">
        <f>E3+(H4*80%)</f>
        <v>46090.76</v>
      </c>
      <c r="L9" s="19">
        <f>E3+(H4*95%)</f>
        <v>46099.34</v>
      </c>
      <c r="M9" s="20">
        <f>E3+(H4*85%)</f>
        <v>46093.62</v>
      </c>
      <c r="N9" s="20">
        <f>E3+(H4*105%)</f>
        <v>46105.06</v>
      </c>
      <c r="O9" s="19">
        <f>E3+(H4*100%)</f>
        <v>46102.2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 t="s">
        <v>26</v>
      </c>
      <c r="M10" s="22" t="s">
        <v>26</v>
      </c>
      <c r="N10" s="22" t="s">
        <v>26</v>
      </c>
      <c r="O10" s="22" t="s">
        <v>26</v>
      </c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46047.288</v>
      </c>
      <c r="D14" s="28">
        <f>E3+(H4*10%)</f>
        <v>46050.720000000001</v>
      </c>
      <c r="E14" s="28">
        <f>E3+(H4*10%)</f>
        <v>46050.720000000001</v>
      </c>
      <c r="F14" s="28">
        <f>E3+(H4*13%)</f>
        <v>46052.436000000002</v>
      </c>
      <c r="G14" s="20">
        <f>E3+(H4*25%)</f>
        <v>46059.3</v>
      </c>
      <c r="H14" s="20">
        <f>E3+(H4*30%)</f>
        <v>46062.16</v>
      </c>
      <c r="I14" s="20">
        <f>E3+(H4*48%)</f>
        <v>46072.455999999998</v>
      </c>
      <c r="J14" s="20">
        <f>E3+(H4*50%)</f>
        <v>46073.599999999999</v>
      </c>
      <c r="K14" s="20">
        <f>E3+(H4*78%)</f>
        <v>46089.616000000002</v>
      </c>
      <c r="L14" s="20">
        <f>E3+(H4*78%)</f>
        <v>46089.616000000002</v>
      </c>
      <c r="M14" s="20">
        <f>E3+(H4*83%)</f>
        <v>46092.476000000002</v>
      </c>
      <c r="N14" s="19">
        <f>E3+(H4*85%)</f>
        <v>46093.62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26</v>
      </c>
      <c r="J15" s="22" t="s">
        <v>26</v>
      </c>
      <c r="K15" s="22" t="s">
        <v>26</v>
      </c>
      <c r="L15" s="22" t="s">
        <v>26</v>
      </c>
      <c r="M15" s="22" t="s">
        <v>26</v>
      </c>
      <c r="N15" s="22" t="s">
        <v>26</v>
      </c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46102.2</v>
      </c>
      <c r="D19" s="20">
        <f>O9+3</f>
        <v>46105.2</v>
      </c>
      <c r="E19" s="20">
        <f>G19-5</f>
        <v>46133</v>
      </c>
      <c r="F19" s="20">
        <f>D19+5</f>
        <v>46110.2</v>
      </c>
      <c r="G19" s="20">
        <f>I19-3</f>
        <v>46138</v>
      </c>
      <c r="H19" s="20">
        <f>F19+5</f>
        <v>46115.199999999997</v>
      </c>
      <c r="I19" s="20">
        <f>K19-4</f>
        <v>46141</v>
      </c>
      <c r="J19" s="20">
        <f>H19+10</f>
        <v>46125.2</v>
      </c>
      <c r="K19" s="20">
        <f>L19-1</f>
        <v>46145</v>
      </c>
      <c r="L19" s="20">
        <f>E4-3</f>
        <v>46146</v>
      </c>
    </row>
    <row r="20" spans="1:15" ht="22.5" customHeight="1">
      <c r="A20" s="31"/>
      <c r="B20" s="22" t="s">
        <v>26</v>
      </c>
      <c r="C20" s="22" t="s">
        <v>26</v>
      </c>
      <c r="D20" s="22" t="s">
        <v>26</v>
      </c>
      <c r="E20" s="22" t="s">
        <v>26</v>
      </c>
      <c r="F20" s="22" t="s">
        <v>26</v>
      </c>
      <c r="G20" s="22" t="s">
        <v>26</v>
      </c>
      <c r="H20" s="22" t="s">
        <v>52</v>
      </c>
      <c r="I20" s="22" t="s">
        <v>52</v>
      </c>
      <c r="J20" s="22" t="s">
        <v>26</v>
      </c>
      <c r="K20" s="22" t="s">
        <v>26</v>
      </c>
      <c r="L20" s="22" t="s">
        <v>56</v>
      </c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activeCell="K11" sqref="K11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46088</v>
      </c>
      <c r="F3" s="1"/>
      <c r="G3" s="6" t="s">
        <v>3</v>
      </c>
      <c r="H3" s="7">
        <f>E4-E3</f>
        <v>95</v>
      </c>
      <c r="I3" s="1"/>
      <c r="J3" s="1"/>
      <c r="K3" s="1"/>
      <c r="L3" s="1"/>
    </row>
    <row r="4" spans="1:15">
      <c r="A4" s="3" t="s">
        <v>4</v>
      </c>
      <c r="B4" s="8">
        <v>62950</v>
      </c>
      <c r="D4" s="3" t="s">
        <v>5</v>
      </c>
      <c r="E4" s="19">
        <v>46183</v>
      </c>
      <c r="G4" s="6" t="s">
        <v>6</v>
      </c>
      <c r="H4" s="7">
        <f>H3*55%</f>
        <v>52.250000000000007</v>
      </c>
      <c r="I4" s="1"/>
      <c r="J4" s="1"/>
      <c r="K4" s="1"/>
      <c r="L4" s="1"/>
    </row>
    <row r="5" spans="1:15">
      <c r="A5" s="3" t="s">
        <v>7</v>
      </c>
      <c r="B5" s="8">
        <v>20000</v>
      </c>
      <c r="D5" s="3" t="s">
        <v>8</v>
      </c>
      <c r="E5" s="10">
        <v>46193</v>
      </c>
      <c r="F5" s="1"/>
      <c r="G5" s="6" t="s">
        <v>9</v>
      </c>
      <c r="H5" s="7">
        <f>H3*45%</f>
        <v>42.75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46095.837500000001</v>
      </c>
      <c r="D9" s="19">
        <f>E3+(H4*40%)</f>
        <v>46108.9</v>
      </c>
      <c r="E9" s="19">
        <f>E3+(H4*15%)</f>
        <v>46095.837500000001</v>
      </c>
      <c r="F9" s="19">
        <f>E3+(H4*50%)</f>
        <v>46114.125</v>
      </c>
      <c r="G9" s="19">
        <f>E3+(H4*25%)</f>
        <v>46101.0625</v>
      </c>
      <c r="H9" s="19">
        <f>E3+(H4*60%)</f>
        <v>46119.35</v>
      </c>
      <c r="I9" s="19">
        <f>E3+(H4*63%)</f>
        <v>46120.917500000003</v>
      </c>
      <c r="J9" s="19">
        <f>E3+(H4*70%)</f>
        <v>46124.574999999997</v>
      </c>
      <c r="K9" s="19">
        <f>E3+(H4*80%)</f>
        <v>46129.8</v>
      </c>
      <c r="L9" s="19">
        <f>E3+(H4*95%)</f>
        <v>46137.637499999997</v>
      </c>
      <c r="M9" s="20">
        <f>E3+(H4*85%)</f>
        <v>46132.412499999999</v>
      </c>
      <c r="N9" s="20">
        <f>E3+(H4*105%)</f>
        <v>46142.862500000003</v>
      </c>
      <c r="O9" s="19">
        <f>E3+(H4*100%)</f>
        <v>46140.25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/>
      <c r="M10" s="22"/>
      <c r="N10" s="22"/>
      <c r="O10" s="22"/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46090.09</v>
      </c>
      <c r="D14" s="28">
        <f>E3+(H4*10%)</f>
        <v>46093.224999999999</v>
      </c>
      <c r="E14" s="28">
        <f>E3+(H4*10%)</f>
        <v>46093.224999999999</v>
      </c>
      <c r="F14" s="28">
        <f>E3+(H4*13%)</f>
        <v>46094.792500000003</v>
      </c>
      <c r="G14" s="20">
        <f>E3+(H4*25%)</f>
        <v>46101.0625</v>
      </c>
      <c r="H14" s="20">
        <f>E3+(H4*30%)</f>
        <v>46103.675000000003</v>
      </c>
      <c r="I14" s="20">
        <f>E3+(H4*48%)</f>
        <v>46113.08</v>
      </c>
      <c r="J14" s="20">
        <f>E3+(H4*50%)</f>
        <v>46114.125</v>
      </c>
      <c r="K14" s="20">
        <f>E3+(H4*78%)</f>
        <v>46128.754999999997</v>
      </c>
      <c r="L14" s="20">
        <f>E3+(H4*78%)</f>
        <v>46128.754999999997</v>
      </c>
      <c r="M14" s="20">
        <f>E3+(H4*83%)</f>
        <v>46131.3675</v>
      </c>
      <c r="N14" s="19">
        <f>E3+(H4*85%)</f>
        <v>46132.412499999999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57</v>
      </c>
      <c r="J15" s="22" t="s">
        <v>58</v>
      </c>
      <c r="K15" s="22"/>
      <c r="L15" s="22"/>
      <c r="M15" s="22"/>
      <c r="N15" s="22"/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46140.25</v>
      </c>
      <c r="D19" s="20">
        <f>O9+3</f>
        <v>46143.25</v>
      </c>
      <c r="E19" s="20">
        <f>G19-5</f>
        <v>46167</v>
      </c>
      <c r="F19" s="20">
        <f>D19+5</f>
        <v>46148.25</v>
      </c>
      <c r="G19" s="20">
        <f>I19-3</f>
        <v>46172</v>
      </c>
      <c r="H19" s="20">
        <f>F19+5</f>
        <v>46153.25</v>
      </c>
      <c r="I19" s="20">
        <f>K19-4</f>
        <v>46175</v>
      </c>
      <c r="J19" s="20">
        <f>H19+10</f>
        <v>46163.25</v>
      </c>
      <c r="K19" s="20">
        <f>L19-1</f>
        <v>46179</v>
      </c>
      <c r="L19" s="20">
        <f>E4-3</f>
        <v>46180</v>
      </c>
    </row>
    <row r="20" spans="1:15" ht="22.5" customHeight="1">
      <c r="A20" s="3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activeCell="L10" sqref="L10:O10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46088</v>
      </c>
      <c r="F3" s="1"/>
      <c r="G3" s="6" t="s">
        <v>3</v>
      </c>
      <c r="H3" s="7">
        <f>E4-E3</f>
        <v>95</v>
      </c>
      <c r="I3" s="1"/>
      <c r="J3" s="1"/>
      <c r="K3" s="1"/>
      <c r="L3" s="1"/>
    </row>
    <row r="4" spans="1:15">
      <c r="A4" s="3" t="s">
        <v>4</v>
      </c>
      <c r="B4" s="8">
        <v>62951</v>
      </c>
      <c r="D4" s="3" t="s">
        <v>5</v>
      </c>
      <c r="E4" s="19">
        <v>46183</v>
      </c>
      <c r="G4" s="6" t="s">
        <v>6</v>
      </c>
      <c r="H4" s="7">
        <f>H3*55%</f>
        <v>52.250000000000007</v>
      </c>
      <c r="I4" s="1"/>
      <c r="J4" s="1"/>
      <c r="K4" s="1"/>
      <c r="L4" s="1"/>
    </row>
    <row r="5" spans="1:15">
      <c r="A5" s="3" t="s">
        <v>7</v>
      </c>
      <c r="B5" s="8">
        <v>12000</v>
      </c>
      <c r="D5" s="3" t="s">
        <v>8</v>
      </c>
      <c r="E5" s="10">
        <v>46193</v>
      </c>
      <c r="F5" s="1"/>
      <c r="G5" s="6" t="s">
        <v>9</v>
      </c>
      <c r="H5" s="7">
        <f>H3*45%</f>
        <v>42.75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46095.837500000001</v>
      </c>
      <c r="D9" s="19">
        <f>E3+(H4*40%)</f>
        <v>46108.9</v>
      </c>
      <c r="E9" s="19">
        <f>E3+(H4*15%)</f>
        <v>46095.837500000001</v>
      </c>
      <c r="F9" s="19">
        <f>E3+(H4*50%)</f>
        <v>46114.125</v>
      </c>
      <c r="G9" s="19">
        <f>E3+(H4*25%)</f>
        <v>46101.0625</v>
      </c>
      <c r="H9" s="19">
        <f>E3+(H4*60%)</f>
        <v>46119.35</v>
      </c>
      <c r="I9" s="19">
        <f>E3+(H4*63%)</f>
        <v>46120.917500000003</v>
      </c>
      <c r="J9" s="19">
        <f>E3+(H4*70%)</f>
        <v>46124.574999999997</v>
      </c>
      <c r="K9" s="19">
        <f>E3+(H4*80%)</f>
        <v>46129.8</v>
      </c>
      <c r="L9" s="19">
        <f>E3+(H4*95%)</f>
        <v>46137.637499999997</v>
      </c>
      <c r="M9" s="20">
        <f>E3+(H4*85%)</f>
        <v>46132.412499999999</v>
      </c>
      <c r="N9" s="20">
        <f>E3+(H4*105%)</f>
        <v>46142.862500000003</v>
      </c>
      <c r="O9" s="19">
        <f>E3+(H4*100%)</f>
        <v>46140.25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/>
      <c r="M10" s="22"/>
      <c r="N10" s="22"/>
      <c r="O10" s="22"/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46090.09</v>
      </c>
      <c r="D14" s="28">
        <f>E3+(H4*10%)</f>
        <v>46093.224999999999</v>
      </c>
      <c r="E14" s="28">
        <f>E3+(H4*10%)</f>
        <v>46093.224999999999</v>
      </c>
      <c r="F14" s="28">
        <f>E3+(H4*13%)</f>
        <v>46094.792500000003</v>
      </c>
      <c r="G14" s="20">
        <f>E3+(H4*25%)</f>
        <v>46101.0625</v>
      </c>
      <c r="H14" s="20">
        <f>E3+(H4*30%)</f>
        <v>46103.675000000003</v>
      </c>
      <c r="I14" s="20">
        <f>E3+(H4*48%)</f>
        <v>46113.08</v>
      </c>
      <c r="J14" s="20">
        <f>E3+(H4*50%)</f>
        <v>46114.125</v>
      </c>
      <c r="K14" s="20">
        <f>E3+(H4*78%)</f>
        <v>46128.754999999997</v>
      </c>
      <c r="L14" s="20">
        <f>E3+(H4*78%)</f>
        <v>46128.754999999997</v>
      </c>
      <c r="M14" s="20">
        <f>E3+(H4*83%)</f>
        <v>46131.3675</v>
      </c>
      <c r="N14" s="19">
        <f>E3+(H4*85%)</f>
        <v>46132.412499999999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57</v>
      </c>
      <c r="J15" s="22" t="s">
        <v>58</v>
      </c>
      <c r="K15" s="22"/>
      <c r="L15" s="22"/>
      <c r="M15" s="22"/>
      <c r="N15" s="22"/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46140.25</v>
      </c>
      <c r="D19" s="20">
        <f>O9+3</f>
        <v>46143.25</v>
      </c>
      <c r="E19" s="20">
        <f>G19-5</f>
        <v>46167</v>
      </c>
      <c r="F19" s="20">
        <f>D19+5</f>
        <v>46148.25</v>
      </c>
      <c r="G19" s="20">
        <f>I19-3</f>
        <v>46172</v>
      </c>
      <c r="H19" s="20">
        <f>F19+5</f>
        <v>46153.25</v>
      </c>
      <c r="I19" s="20">
        <f>K19-4</f>
        <v>46175</v>
      </c>
      <c r="J19" s="20">
        <f>H19+10</f>
        <v>46163.25</v>
      </c>
      <c r="K19" s="20">
        <f>L19-1</f>
        <v>46179</v>
      </c>
      <c r="L19" s="20">
        <f>E4-3</f>
        <v>46180</v>
      </c>
    </row>
    <row r="20" spans="1:15" ht="22.5" customHeight="1">
      <c r="A20" s="3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sqref="A1:XFD104857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46088</v>
      </c>
      <c r="F3" s="1"/>
      <c r="G3" s="6" t="s">
        <v>3</v>
      </c>
      <c r="H3" s="7">
        <f>E4-E3</f>
        <v>95</v>
      </c>
      <c r="I3" s="1"/>
      <c r="J3" s="1"/>
      <c r="K3" s="1"/>
      <c r="L3" s="1"/>
    </row>
    <row r="4" spans="1:15">
      <c r="A4" s="3" t="s">
        <v>4</v>
      </c>
      <c r="B4" s="8">
        <v>62949</v>
      </c>
      <c r="D4" s="3" t="s">
        <v>5</v>
      </c>
      <c r="E4" s="19">
        <v>46183</v>
      </c>
      <c r="G4" s="6" t="s">
        <v>6</v>
      </c>
      <c r="H4" s="7">
        <f>H3*55%</f>
        <v>52.250000000000007</v>
      </c>
      <c r="I4" s="1"/>
      <c r="J4" s="1"/>
      <c r="K4" s="1"/>
      <c r="L4" s="1"/>
    </row>
    <row r="5" spans="1:15">
      <c r="A5" s="3" t="s">
        <v>7</v>
      </c>
      <c r="B5" s="8">
        <v>14400</v>
      </c>
      <c r="D5" s="3" t="s">
        <v>8</v>
      </c>
      <c r="E5" s="10">
        <v>46193</v>
      </c>
      <c r="F5" s="1"/>
      <c r="G5" s="6" t="s">
        <v>9</v>
      </c>
      <c r="H5" s="7">
        <f>H3*45%</f>
        <v>42.75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46095.837500000001</v>
      </c>
      <c r="D9" s="19">
        <f>E3+(H4*40%)</f>
        <v>46108.9</v>
      </c>
      <c r="E9" s="19">
        <f>E3+(H4*15%)</f>
        <v>46095.837500000001</v>
      </c>
      <c r="F9" s="19">
        <f>E3+(H4*50%)</f>
        <v>46114.125</v>
      </c>
      <c r="G9" s="19">
        <f>E3+(H4*25%)</f>
        <v>46101.0625</v>
      </c>
      <c r="H9" s="19">
        <f>E3+(H4*60%)</f>
        <v>46119.35</v>
      </c>
      <c r="I9" s="19">
        <f>E3+(H4*63%)</f>
        <v>46120.917500000003</v>
      </c>
      <c r="J9" s="19">
        <f>E3+(H4*70%)</f>
        <v>46124.574999999997</v>
      </c>
      <c r="K9" s="19">
        <f>E3+(H4*80%)</f>
        <v>46129.8</v>
      </c>
      <c r="L9" s="19">
        <f>E3+(H4*95%)</f>
        <v>46137.637499999997</v>
      </c>
      <c r="M9" s="20">
        <f>E3+(H4*85%)</f>
        <v>46132.412499999999</v>
      </c>
      <c r="N9" s="20">
        <f>E3+(H4*105%)</f>
        <v>46142.862500000003</v>
      </c>
      <c r="O9" s="19">
        <f>E3+(H4*100%)</f>
        <v>46140.25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/>
      <c r="M10" s="22"/>
      <c r="N10" s="22"/>
      <c r="O10" s="22"/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46090.09</v>
      </c>
      <c r="D14" s="28">
        <f>E3+(H4*10%)</f>
        <v>46093.224999999999</v>
      </c>
      <c r="E14" s="28">
        <f>E3+(H4*10%)</f>
        <v>46093.224999999999</v>
      </c>
      <c r="F14" s="28">
        <f>E3+(H4*13%)</f>
        <v>46094.792500000003</v>
      </c>
      <c r="G14" s="20">
        <f>E3+(H4*25%)</f>
        <v>46101.0625</v>
      </c>
      <c r="H14" s="20">
        <f>E3+(H4*30%)</f>
        <v>46103.675000000003</v>
      </c>
      <c r="I14" s="20">
        <f>E3+(H4*48%)</f>
        <v>46113.08</v>
      </c>
      <c r="J14" s="20">
        <f>E3+(H4*50%)</f>
        <v>46114.125</v>
      </c>
      <c r="K14" s="20">
        <f>E3+(H4*78%)</f>
        <v>46128.754999999997</v>
      </c>
      <c r="L14" s="20">
        <f>E3+(H4*78%)</f>
        <v>46128.754999999997</v>
      </c>
      <c r="M14" s="20">
        <f>E3+(H4*83%)</f>
        <v>46131.3675</v>
      </c>
      <c r="N14" s="19">
        <f>E3+(H4*85%)</f>
        <v>46132.412499999999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57</v>
      </c>
      <c r="J15" s="22" t="s">
        <v>58</v>
      </c>
      <c r="K15" s="22"/>
      <c r="L15" s="22"/>
      <c r="M15" s="22"/>
      <c r="N15" s="22"/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46140.25</v>
      </c>
      <c r="D19" s="20">
        <f>O9+3</f>
        <v>46143.25</v>
      </c>
      <c r="E19" s="20">
        <f>G19-5</f>
        <v>46167</v>
      </c>
      <c r="F19" s="20">
        <f>D19+5</f>
        <v>46148.25</v>
      </c>
      <c r="G19" s="20">
        <f>I19-3</f>
        <v>46172</v>
      </c>
      <c r="H19" s="20">
        <f>F19+5</f>
        <v>46153.25</v>
      </c>
      <c r="I19" s="20">
        <f>K19-4</f>
        <v>46175</v>
      </c>
      <c r="J19" s="20">
        <f>H19+10</f>
        <v>46163.25</v>
      </c>
      <c r="K19" s="20">
        <f>L19-1</f>
        <v>46179</v>
      </c>
      <c r="L19" s="20">
        <f>E4-3</f>
        <v>46180</v>
      </c>
    </row>
    <row r="20" spans="1:15" ht="22.5" customHeight="1">
      <c r="A20" s="3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sqref="A1:XFD104857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46049</v>
      </c>
      <c r="F3" s="1"/>
      <c r="G3" s="6" t="s">
        <v>3</v>
      </c>
      <c r="H3" s="7">
        <f>E4-E3</f>
        <v>107</v>
      </c>
      <c r="I3" s="1"/>
      <c r="J3" s="1"/>
      <c r="K3" s="1"/>
      <c r="L3" s="1"/>
    </row>
    <row r="4" spans="1:15">
      <c r="A4" s="3" t="s">
        <v>4</v>
      </c>
      <c r="B4" s="8">
        <v>62336</v>
      </c>
      <c r="D4" s="3" t="s">
        <v>5</v>
      </c>
      <c r="E4" s="19">
        <v>46156</v>
      </c>
      <c r="G4" s="6" t="s">
        <v>6</v>
      </c>
      <c r="H4" s="7">
        <f>H3*55%</f>
        <v>58.85</v>
      </c>
      <c r="I4" s="1"/>
      <c r="J4" s="1"/>
      <c r="K4" s="1"/>
      <c r="L4" s="1"/>
    </row>
    <row r="5" spans="1:15">
      <c r="A5" s="3" t="s">
        <v>7</v>
      </c>
      <c r="B5" s="8">
        <v>3722</v>
      </c>
      <c r="D5" s="3" t="s">
        <v>8</v>
      </c>
      <c r="E5" s="10">
        <v>46166</v>
      </c>
      <c r="F5" s="1"/>
      <c r="G5" s="6" t="s">
        <v>9</v>
      </c>
      <c r="H5" s="7">
        <f>H3*45%</f>
        <v>48.15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46057.827499999999</v>
      </c>
      <c r="D9" s="19">
        <f>E3+(H4*40%)</f>
        <v>46072.54</v>
      </c>
      <c r="E9" s="19">
        <f>E3+(H4*15%)</f>
        <v>46057.827499999999</v>
      </c>
      <c r="F9" s="19">
        <f>E3+(H4*50%)</f>
        <v>46078.425000000003</v>
      </c>
      <c r="G9" s="19">
        <f>E3+(H4*25%)</f>
        <v>46063.712500000001</v>
      </c>
      <c r="H9" s="19">
        <f>E3+(H4*60%)</f>
        <v>46084.31</v>
      </c>
      <c r="I9" s="19">
        <f>E3+(H4*63%)</f>
        <v>46086.075499999999</v>
      </c>
      <c r="J9" s="19">
        <f>E3+(H4*70%)</f>
        <v>46090.195</v>
      </c>
      <c r="K9" s="19">
        <f>E3+(H4*80%)</f>
        <v>46096.08</v>
      </c>
      <c r="L9" s="19">
        <f>E3+(H4*95%)</f>
        <v>46104.907500000001</v>
      </c>
      <c r="M9" s="20">
        <f>E3+(H4*85%)</f>
        <v>46099.022499999999</v>
      </c>
      <c r="N9" s="20">
        <f>E3+(H4*105%)</f>
        <v>46110.792500000003</v>
      </c>
      <c r="O9" s="19">
        <f>E3+(H4*100%)</f>
        <v>46107.85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 t="s">
        <v>26</v>
      </c>
      <c r="M10" s="22" t="s">
        <v>26</v>
      </c>
      <c r="N10" s="22" t="s">
        <v>26</v>
      </c>
      <c r="O10" s="22" t="s">
        <v>26</v>
      </c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46051.353999999999</v>
      </c>
      <c r="D14" s="28">
        <f>E3+(H4*10%)</f>
        <v>46054.885000000002</v>
      </c>
      <c r="E14" s="28">
        <f>E3+(H4*10%)</f>
        <v>46054.885000000002</v>
      </c>
      <c r="F14" s="28">
        <f>E3+(H4*13%)</f>
        <v>46056.650500000003</v>
      </c>
      <c r="G14" s="20">
        <f>E3+(H4*25%)</f>
        <v>46063.712500000001</v>
      </c>
      <c r="H14" s="20">
        <f>E3+(H4*30%)</f>
        <v>46066.654999999999</v>
      </c>
      <c r="I14" s="20">
        <f>E3+(H4*48%)</f>
        <v>46077.248</v>
      </c>
      <c r="J14" s="20">
        <f>E3+(H4*50%)</f>
        <v>46078.425000000003</v>
      </c>
      <c r="K14" s="20">
        <f>E3+(H4*78%)</f>
        <v>46094.902999999998</v>
      </c>
      <c r="L14" s="20">
        <f>E3+(H4*78%)</f>
        <v>46094.902999999998</v>
      </c>
      <c r="M14" s="20">
        <f>E3+(H4*83%)</f>
        <v>46097.845500000003</v>
      </c>
      <c r="N14" s="19">
        <f>E3+(H4*85%)</f>
        <v>46099.022499999999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26</v>
      </c>
      <c r="J15" s="22" t="s">
        <v>26</v>
      </c>
      <c r="K15" s="22" t="s">
        <v>26</v>
      </c>
      <c r="L15" s="22" t="s">
        <v>26</v>
      </c>
      <c r="M15" s="22" t="s">
        <v>26</v>
      </c>
      <c r="N15" s="22" t="s">
        <v>26</v>
      </c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46107.85</v>
      </c>
      <c r="D19" s="20">
        <f>O9+3</f>
        <v>46110.85</v>
      </c>
      <c r="E19" s="20">
        <f>G19-5</f>
        <v>46140</v>
      </c>
      <c r="F19" s="20">
        <f>D19+5</f>
        <v>46115.85</v>
      </c>
      <c r="G19" s="20">
        <f>I19-3</f>
        <v>46145</v>
      </c>
      <c r="H19" s="20">
        <f>F19+5</f>
        <v>46120.85</v>
      </c>
      <c r="I19" s="20">
        <f>K19-4</f>
        <v>46148</v>
      </c>
      <c r="J19" s="20">
        <f>H19+10</f>
        <v>46130.85</v>
      </c>
      <c r="K19" s="20">
        <f>L19-1</f>
        <v>46152</v>
      </c>
      <c r="L19" s="20">
        <f>E4-3</f>
        <v>46153</v>
      </c>
    </row>
    <row r="20" spans="1:15" ht="22.5" customHeight="1">
      <c r="A20" s="31"/>
      <c r="B20" s="22" t="s">
        <v>26</v>
      </c>
      <c r="C20" s="22" t="s">
        <v>26</v>
      </c>
      <c r="D20" s="22" t="s">
        <v>26</v>
      </c>
      <c r="E20" s="22" t="s">
        <v>26</v>
      </c>
      <c r="F20" s="22" t="s">
        <v>26</v>
      </c>
      <c r="G20" s="22" t="s">
        <v>26</v>
      </c>
      <c r="H20" s="22" t="s">
        <v>52</v>
      </c>
      <c r="I20" s="22" t="s">
        <v>52</v>
      </c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>
      <selection activeCell="F17" sqref="F17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5">
        <v>46041</v>
      </c>
      <c r="F3" s="1"/>
      <c r="G3" s="6" t="s">
        <v>3</v>
      </c>
      <c r="H3" s="7">
        <f>E4-E3</f>
        <v>107</v>
      </c>
      <c r="I3" s="1"/>
      <c r="J3" s="1"/>
      <c r="K3" s="1"/>
      <c r="L3" s="1"/>
    </row>
    <row r="4" spans="1:15">
      <c r="A4" s="3" t="s">
        <v>4</v>
      </c>
      <c r="B4" s="8">
        <v>62265</v>
      </c>
      <c r="D4" s="3" t="s">
        <v>5</v>
      </c>
      <c r="E4" s="19">
        <v>46148</v>
      </c>
      <c r="G4" s="6" t="s">
        <v>6</v>
      </c>
      <c r="H4" s="7">
        <f>H3*55%</f>
        <v>58.85</v>
      </c>
      <c r="I4" s="1"/>
      <c r="J4" s="1"/>
      <c r="K4" s="1"/>
      <c r="L4" s="1"/>
    </row>
    <row r="5" spans="1:15">
      <c r="A5" s="3" t="s">
        <v>7</v>
      </c>
      <c r="B5" s="8">
        <v>2200</v>
      </c>
      <c r="D5" s="3" t="s">
        <v>8</v>
      </c>
      <c r="E5" s="10">
        <v>46158</v>
      </c>
      <c r="F5" s="1"/>
      <c r="G5" s="6" t="s">
        <v>9</v>
      </c>
      <c r="H5" s="7">
        <f>H3*45%</f>
        <v>48.15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19">
        <f>E3+(H4*15%)</f>
        <v>46049.827499999999</v>
      </c>
      <c r="D9" s="19">
        <f>E3+(H4*40%)</f>
        <v>46064.54</v>
      </c>
      <c r="E9" s="19">
        <f>E3+(H4*15%)</f>
        <v>46049.827499999999</v>
      </c>
      <c r="F9" s="19">
        <f>E3+(H4*50%)</f>
        <v>46070.425000000003</v>
      </c>
      <c r="G9" s="19">
        <f>E3+(H4*25%)</f>
        <v>46055.712500000001</v>
      </c>
      <c r="H9" s="19">
        <f>E3+(H4*60%)</f>
        <v>46076.31</v>
      </c>
      <c r="I9" s="19">
        <f>E3+(H4*63%)</f>
        <v>46078.075499999999</v>
      </c>
      <c r="J9" s="19">
        <f>E3+(H4*70%)</f>
        <v>46082.195</v>
      </c>
      <c r="K9" s="19">
        <f>E3+(H4*80%)</f>
        <v>46088.08</v>
      </c>
      <c r="L9" s="19">
        <f>E3+(H4*95%)</f>
        <v>46096.907500000001</v>
      </c>
      <c r="M9" s="20">
        <f>E3+(H4*85%)</f>
        <v>46091.022499999999</v>
      </c>
      <c r="N9" s="20">
        <f>E3+(H4*105%)</f>
        <v>46102.792500000003</v>
      </c>
      <c r="O9" s="19">
        <f>E3+(H4*100%)</f>
        <v>46099.85</v>
      </c>
    </row>
    <row r="10" spans="1:15" ht="22.5" customHeight="1">
      <c r="A10" s="17"/>
      <c r="B10" s="21" t="s">
        <v>25</v>
      </c>
      <c r="C10" s="22" t="s">
        <v>26</v>
      </c>
      <c r="D10" s="22" t="s">
        <v>26</v>
      </c>
      <c r="E10" s="22" t="s">
        <v>26</v>
      </c>
      <c r="F10" s="22" t="s">
        <v>26</v>
      </c>
      <c r="G10" s="22" t="s">
        <v>26</v>
      </c>
      <c r="H10" s="22" t="s">
        <v>26</v>
      </c>
      <c r="I10" s="22" t="s">
        <v>26</v>
      </c>
      <c r="J10" s="22" t="s">
        <v>26</v>
      </c>
      <c r="K10" s="22" t="s">
        <v>26</v>
      </c>
      <c r="L10" s="22" t="s">
        <v>26</v>
      </c>
      <c r="M10" s="22" t="s">
        <v>26</v>
      </c>
      <c r="N10" s="22" t="s">
        <v>26</v>
      </c>
      <c r="O10" s="22" t="s">
        <v>26</v>
      </c>
    </row>
    <row r="11" spans="1:15" ht="22.5" customHeight="1">
      <c r="A11" s="23"/>
      <c r="B11" s="18" t="s">
        <v>27</v>
      </c>
      <c r="C11" s="24" t="s">
        <v>53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>
      <c r="B12" s="2"/>
    </row>
    <row r="13" spans="1:15" ht="30">
      <c r="A13" s="25" t="s">
        <v>28</v>
      </c>
      <c r="B13" s="26"/>
      <c r="C13" s="27" t="s">
        <v>29</v>
      </c>
      <c r="D13" s="27" t="s">
        <v>30</v>
      </c>
      <c r="E13" s="27" t="s">
        <v>31</v>
      </c>
      <c r="F13" s="27" t="s">
        <v>32</v>
      </c>
      <c r="G13" s="16" t="s">
        <v>33</v>
      </c>
      <c r="H13" s="16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</row>
    <row r="14" spans="1:15" ht="22.5" customHeight="1">
      <c r="A14" s="25"/>
      <c r="B14" s="18" t="s">
        <v>24</v>
      </c>
      <c r="C14" s="28">
        <f>E3+(H4*4%)</f>
        <v>46043.353999999999</v>
      </c>
      <c r="D14" s="28">
        <f>E3+(H4*10%)</f>
        <v>46046.885000000002</v>
      </c>
      <c r="E14" s="28">
        <f>E3+(H4*10%)</f>
        <v>46046.885000000002</v>
      </c>
      <c r="F14" s="28">
        <f>E3+(H4*13%)</f>
        <v>46048.650500000003</v>
      </c>
      <c r="G14" s="20">
        <f>E3+(H4*25%)</f>
        <v>46055.712500000001</v>
      </c>
      <c r="H14" s="20">
        <f>E3+(H4*30%)</f>
        <v>46058.654999999999</v>
      </c>
      <c r="I14" s="20">
        <f>E3+(H4*48%)</f>
        <v>46069.248</v>
      </c>
      <c r="J14" s="20">
        <f>E3+(H4*50%)</f>
        <v>46070.425000000003</v>
      </c>
      <c r="K14" s="20">
        <f>E3+(H4*78%)</f>
        <v>46086.902999999998</v>
      </c>
      <c r="L14" s="20">
        <f>E3+(H4*78%)</f>
        <v>46086.902999999998</v>
      </c>
      <c r="M14" s="20">
        <f>E3+(H4*83%)</f>
        <v>46089.845500000003</v>
      </c>
      <c r="N14" s="19">
        <f>E3+(H4*85%)</f>
        <v>46091.022499999999</v>
      </c>
    </row>
    <row r="15" spans="1:15" ht="22.5" customHeight="1">
      <c r="A15" s="25"/>
      <c r="B15" s="21" t="s">
        <v>41</v>
      </c>
      <c r="C15" s="22" t="s">
        <v>26</v>
      </c>
      <c r="D15" s="22" t="s">
        <v>26</v>
      </c>
      <c r="E15" s="22" t="s">
        <v>26</v>
      </c>
      <c r="F15" s="22" t="s">
        <v>26</v>
      </c>
      <c r="G15" s="22" t="s">
        <v>26</v>
      </c>
      <c r="H15" s="22" t="s">
        <v>26</v>
      </c>
      <c r="I15" s="22" t="s">
        <v>26</v>
      </c>
      <c r="J15" s="22" t="s">
        <v>26</v>
      </c>
      <c r="K15" s="22" t="s">
        <v>26</v>
      </c>
      <c r="L15" s="22" t="s">
        <v>26</v>
      </c>
      <c r="M15" s="22" t="s">
        <v>26</v>
      </c>
      <c r="N15" s="22" t="s">
        <v>26</v>
      </c>
      <c r="O15" s="29"/>
    </row>
    <row r="16" spans="1:15" ht="22.5" customHeight="1">
      <c r="A16" s="25"/>
      <c r="B16" s="18" t="s">
        <v>27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>
      <c r="B17" s="2"/>
    </row>
    <row r="18" spans="1:15" ht="30">
      <c r="A18" s="31" t="s">
        <v>42</v>
      </c>
      <c r="B18" s="15"/>
      <c r="C18" s="32" t="s">
        <v>23</v>
      </c>
      <c r="D18" s="27" t="s">
        <v>43</v>
      </c>
      <c r="E18" s="27" t="s">
        <v>44</v>
      </c>
      <c r="F18" s="27" t="s">
        <v>45</v>
      </c>
      <c r="G18" s="27" t="s">
        <v>46</v>
      </c>
      <c r="H18" s="16" t="s">
        <v>47</v>
      </c>
      <c r="I18" s="27" t="s">
        <v>48</v>
      </c>
      <c r="J18" s="27" t="s">
        <v>49</v>
      </c>
      <c r="K18" s="27" t="s">
        <v>50</v>
      </c>
      <c r="L18" s="27" t="s">
        <v>51</v>
      </c>
    </row>
    <row r="19" spans="1:15" ht="22.5" customHeight="1">
      <c r="A19" s="31"/>
      <c r="B19" s="7" t="s">
        <v>24</v>
      </c>
      <c r="C19" s="20">
        <f>E3+(H4*100%)</f>
        <v>46099.85</v>
      </c>
      <c r="D19" s="20">
        <f>O9+3</f>
        <v>46102.85</v>
      </c>
      <c r="E19" s="20">
        <f>G19-5</f>
        <v>46132</v>
      </c>
      <c r="F19" s="20">
        <f>D19+5</f>
        <v>46107.85</v>
      </c>
      <c r="G19" s="20">
        <f>I19-3</f>
        <v>46137</v>
      </c>
      <c r="H19" s="20">
        <f>F19+5</f>
        <v>46112.85</v>
      </c>
      <c r="I19" s="20">
        <f>K19-4</f>
        <v>46140</v>
      </c>
      <c r="J19" s="20">
        <f>H19+10</f>
        <v>46122.85</v>
      </c>
      <c r="K19" s="20">
        <f>L19-1</f>
        <v>46144</v>
      </c>
      <c r="L19" s="20">
        <f>E4-3</f>
        <v>46145</v>
      </c>
    </row>
    <row r="20" spans="1:15" ht="22.5" customHeight="1">
      <c r="A20" s="31"/>
      <c r="B20" s="22" t="s">
        <v>26</v>
      </c>
      <c r="C20" s="22" t="s">
        <v>26</v>
      </c>
      <c r="D20" s="22" t="s">
        <v>26</v>
      </c>
      <c r="E20" s="22" t="s">
        <v>26</v>
      </c>
      <c r="F20" s="22" t="s">
        <v>26</v>
      </c>
      <c r="G20" s="22" t="s">
        <v>26</v>
      </c>
      <c r="H20" s="22" t="s">
        <v>52</v>
      </c>
      <c r="I20" s="22" t="s">
        <v>52</v>
      </c>
      <c r="J20" s="22"/>
      <c r="K20" s="22"/>
      <c r="L20" s="22"/>
      <c r="M20" s="33"/>
      <c r="N20" s="29"/>
      <c r="O20" s="29"/>
    </row>
    <row r="21" spans="1:15" ht="22.5" customHeight="1">
      <c r="A21" s="31"/>
      <c r="B21" s="7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sqref="A1:C16"/>
    </sheetView>
  </sheetViews>
  <sheetFormatPr defaultRowHeight="15"/>
  <cols>
    <col min="1" max="1" width="9.5703125" style="34" customWidth="1"/>
    <col min="2" max="2" width="9.42578125" style="34" customWidth="1"/>
    <col min="3" max="3" width="15.28515625" customWidth="1"/>
  </cols>
  <sheetData>
    <row r="1" spans="1:3">
      <c r="A1" s="36" t="s">
        <v>61</v>
      </c>
      <c r="B1" s="36" t="s">
        <v>60</v>
      </c>
      <c r="C1" s="36" t="s">
        <v>62</v>
      </c>
    </row>
    <row r="2" spans="1:3">
      <c r="A2" s="35">
        <v>1</v>
      </c>
      <c r="B2" s="35">
        <v>62329</v>
      </c>
      <c r="C2" s="37" t="s">
        <v>64</v>
      </c>
    </row>
    <row r="3" spans="1:3">
      <c r="A3" s="35">
        <v>2</v>
      </c>
      <c r="B3" s="35">
        <v>62330</v>
      </c>
      <c r="C3" s="38"/>
    </row>
    <row r="4" spans="1:3">
      <c r="A4" s="35">
        <v>3</v>
      </c>
      <c r="B4" s="35">
        <v>62338</v>
      </c>
      <c r="C4" s="38"/>
    </row>
    <row r="5" spans="1:3">
      <c r="A5" s="35">
        <v>4</v>
      </c>
      <c r="B5" s="35">
        <v>62328</v>
      </c>
      <c r="C5" s="38"/>
    </row>
    <row r="6" spans="1:3">
      <c r="A6" s="35">
        <v>5</v>
      </c>
      <c r="B6" s="35">
        <v>62339</v>
      </c>
      <c r="C6" s="38"/>
    </row>
    <row r="7" spans="1:3">
      <c r="A7" s="35">
        <v>6</v>
      </c>
      <c r="B7" s="35">
        <v>62950</v>
      </c>
      <c r="C7" s="38"/>
    </row>
    <row r="8" spans="1:3">
      <c r="A8" s="35">
        <v>7</v>
      </c>
      <c r="B8" s="35">
        <v>62951</v>
      </c>
      <c r="C8" s="38"/>
    </row>
    <row r="9" spans="1:3">
      <c r="A9" s="35">
        <v>8</v>
      </c>
      <c r="B9" s="35">
        <v>62949</v>
      </c>
      <c r="C9" s="38"/>
    </row>
    <row r="10" spans="1:3">
      <c r="A10" s="35">
        <v>9</v>
      </c>
      <c r="B10" s="35">
        <v>62336</v>
      </c>
      <c r="C10" s="38"/>
    </row>
    <row r="11" spans="1:3">
      <c r="A11" s="35">
        <v>10</v>
      </c>
      <c r="B11" s="35">
        <v>62265</v>
      </c>
      <c r="C11" s="39"/>
    </row>
    <row r="12" spans="1:3">
      <c r="A12" s="35">
        <v>11</v>
      </c>
      <c r="B12" s="35">
        <v>63315</v>
      </c>
      <c r="C12" s="37" t="s">
        <v>63</v>
      </c>
    </row>
    <row r="13" spans="1:3">
      <c r="A13" s="35">
        <v>12</v>
      </c>
      <c r="B13" s="35">
        <v>63306</v>
      </c>
      <c r="C13" s="38"/>
    </row>
    <row r="14" spans="1:3">
      <c r="A14" s="35">
        <v>13</v>
      </c>
      <c r="B14" s="35">
        <v>63305</v>
      </c>
      <c r="C14" s="38"/>
    </row>
    <row r="15" spans="1:3">
      <c r="A15" s="35">
        <v>14</v>
      </c>
      <c r="B15" s="35">
        <v>63308</v>
      </c>
      <c r="C15" s="38"/>
    </row>
    <row r="16" spans="1:3">
      <c r="A16" s="35">
        <v>15</v>
      </c>
      <c r="B16" s="35">
        <v>63309</v>
      </c>
      <c r="C16" s="39"/>
    </row>
  </sheetData>
  <mergeCells count="2">
    <mergeCell ref="C2:C11"/>
    <mergeCell ref="C12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62329</vt:lpstr>
      <vt:lpstr>62330</vt:lpstr>
      <vt:lpstr>62338</vt:lpstr>
      <vt:lpstr>62328</vt:lpstr>
      <vt:lpstr>62339</vt:lpstr>
      <vt:lpstr>62950</vt:lpstr>
      <vt:lpstr>62951</vt:lpstr>
      <vt:lpstr>62949</vt:lpstr>
      <vt:lpstr>62336</vt:lpstr>
      <vt:lpstr>62265</vt:lpstr>
      <vt:lpstr>Sheet11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EM2013</dc:creator>
  <cp:lastModifiedBy>EM2013</cp:lastModifiedBy>
  <dcterms:created xsi:type="dcterms:W3CDTF">2026-04-17T06:26:23Z</dcterms:created>
  <dcterms:modified xsi:type="dcterms:W3CDTF">2026-04-17T07:37:08Z</dcterms:modified>
</cp:coreProperties>
</file>