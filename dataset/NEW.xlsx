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4"/>
  </bookViews>
  <sheets>
    <sheet name="63309" sheetId="9" r:id="rId1"/>
    <sheet name="63305" sheetId="8" r:id="rId2"/>
    <sheet name="63306" sheetId="7" r:id="rId3"/>
    <sheet name="63315" sheetId="6" r:id="rId4"/>
    <sheet name="63308" sheetId="4" r:id="rId5"/>
  </sheets>
  <calcPr calcId="124519"/>
</workbook>
</file>

<file path=xl/calcChain.xml><?xml version="1.0" encoding="utf-8"?>
<calcChain xmlns="http://schemas.openxmlformats.org/spreadsheetml/2006/main">
  <c r="L19" i="9"/>
  <c r="K19"/>
  <c r="I19"/>
  <c r="G19"/>
  <c r="E19"/>
  <c r="H3"/>
  <c r="H5" s="1"/>
  <c r="B3"/>
  <c r="L19" i="8"/>
  <c r="K19" s="1"/>
  <c r="I19" s="1"/>
  <c r="G19" s="1"/>
  <c r="E19" s="1"/>
  <c r="H3"/>
  <c r="H5" s="1"/>
  <c r="B3"/>
  <c r="L19" i="7"/>
  <c r="K19"/>
  <c r="I19"/>
  <c r="G19"/>
  <c r="E19"/>
  <c r="H3"/>
  <c r="H5" s="1"/>
  <c r="B3"/>
  <c r="L19" i="6"/>
  <c r="K19" s="1"/>
  <c r="I19" s="1"/>
  <c r="G19" s="1"/>
  <c r="E19" s="1"/>
  <c r="H3"/>
  <c r="H5" s="1"/>
  <c r="B3"/>
  <c r="L19" i="4"/>
  <c r="K19"/>
  <c r="I19"/>
  <c r="G19"/>
  <c r="E19"/>
  <c r="H3"/>
  <c r="H5" s="1"/>
  <c r="B3"/>
  <c r="H4" i="9" l="1"/>
  <c r="H4" i="8"/>
  <c r="H4" i="7"/>
  <c r="H4" i="6"/>
  <c r="H4" i="4"/>
  <c r="C19" i="9" l="1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8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7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6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4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</calcChain>
</file>

<file path=xl/sharedStrings.xml><?xml version="1.0" encoding="utf-8"?>
<sst xmlns="http://schemas.openxmlformats.org/spreadsheetml/2006/main" count="290" uniqueCount="54">
  <si>
    <t>Orders Plan</t>
  </si>
  <si>
    <t>Date :</t>
  </si>
  <si>
    <t xml:space="preserve">Order receipt </t>
  </si>
  <si>
    <t>Order L/D</t>
  </si>
  <si>
    <t>Job No</t>
  </si>
  <si>
    <t>Ex-Fty date</t>
  </si>
  <si>
    <t>Pre-Prod  L/D</t>
  </si>
  <si>
    <t>Quantity :</t>
  </si>
  <si>
    <t>Delivery date</t>
  </si>
  <si>
    <t>Prodn L/D</t>
  </si>
  <si>
    <t>Pre-
Production
TNA</t>
  </si>
  <si>
    <t>L/D send</t>
  </si>
  <si>
    <t>L/D appl</t>
  </si>
  <si>
    <t>Fit send</t>
  </si>
  <si>
    <t>Fit appl</t>
  </si>
  <si>
    <t>A/W send</t>
  </si>
  <si>
    <t>A/W appl</t>
  </si>
  <si>
    <t>I/B Fab send</t>
  </si>
  <si>
    <t>I/B fab appl</t>
  </si>
  <si>
    <t>PP send</t>
  </si>
  <si>
    <t>PP appl</t>
  </si>
  <si>
    <t>FPT</t>
  </si>
  <si>
    <t>GPT</t>
  </si>
  <si>
    <t>PCD</t>
  </si>
  <si>
    <t>Plan</t>
  </si>
  <si>
    <t xml:space="preserve">Action </t>
  </si>
  <si>
    <t>IN PROCESS</t>
  </si>
  <si>
    <t>Deviation if any</t>
  </si>
  <si>
    <t>.</t>
  </si>
  <si>
    <t>Fabric TNA</t>
  </si>
  <si>
    <t>Job sheet</t>
  </si>
  <si>
    <t>Consumption Locking</t>
  </si>
  <si>
    <t>Costing Freezed</t>
  </si>
  <si>
    <t>Yarn Req. deadline</t>
  </si>
  <si>
    <t>Yarn I/H</t>
  </si>
  <si>
    <t>Knit start</t>
  </si>
  <si>
    <t>Knit 
Complete</t>
  </si>
  <si>
    <t>Dyeing 
start</t>
  </si>
  <si>
    <t>Dyeing complete</t>
  </si>
  <si>
    <t>Finishing
start</t>
  </si>
  <si>
    <t>finishing
Complete</t>
  </si>
  <si>
    <t>Fabric I/H</t>
  </si>
  <si>
    <t>Action</t>
  </si>
  <si>
    <t>Clear</t>
  </si>
  <si>
    <t>Production
 TNA</t>
  </si>
  <si>
    <t>Cutting 
start</t>
  </si>
  <si>
    <t>Cutting complete</t>
  </si>
  <si>
    <t>Prnt/Emb Start</t>
  </si>
  <si>
    <t>Prnt/Emb Complete</t>
  </si>
  <si>
    <t>Sewing Start</t>
  </si>
  <si>
    <t>Sewing 
Complete</t>
  </si>
  <si>
    <t>CIP start</t>
  </si>
  <si>
    <t>CIP complete</t>
  </si>
  <si>
    <t>Final Inspection</t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</si>
</sst>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0\ &quot;Days&quot;"/>
    <numFmt numFmtId="166" formatCode="dd\.mm\.yyyy;@"/>
    <numFmt numFmtId="167" formatCode="d/mm/yyyy;@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left"/>
    </xf>
    <xf numFmtId="166" fontId="0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5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4" fillId="0" borderId="3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5" fontId="5" fillId="2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167" fontId="0" fillId="0" borderId="1" xfId="0" applyNumberFormat="1" applyBorder="1"/>
    <xf numFmtId="167" fontId="0" fillId="0" borderId="0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67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activeCell="E4" sqref="E4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46133</v>
      </c>
      <c r="D3" s="3" t="s">
        <v>2</v>
      </c>
      <c r="E3" s="5">
        <v>46127</v>
      </c>
      <c r="F3" s="1"/>
      <c r="G3" s="6" t="s">
        <v>3</v>
      </c>
      <c r="H3" s="7">
        <f>E4-E3</f>
        <v>83</v>
      </c>
      <c r="I3" s="1"/>
      <c r="J3" s="1"/>
      <c r="K3" s="1"/>
      <c r="L3" s="1"/>
    </row>
    <row r="4" spans="1:15">
      <c r="A4" s="3" t="s">
        <v>4</v>
      </c>
      <c r="B4" s="8">
        <v>63309</v>
      </c>
      <c r="D4" s="3" t="s">
        <v>5</v>
      </c>
      <c r="E4" s="9">
        <v>46210</v>
      </c>
      <c r="G4" s="6" t="s">
        <v>6</v>
      </c>
      <c r="H4" s="7">
        <f>H3*55%</f>
        <v>45.650000000000006</v>
      </c>
      <c r="I4" s="1"/>
      <c r="J4" s="1"/>
      <c r="K4" s="1"/>
      <c r="L4" s="1"/>
    </row>
    <row r="5" spans="1:15">
      <c r="A5" s="3" t="s">
        <v>7</v>
      </c>
      <c r="B5" s="8">
        <v>4501</v>
      </c>
      <c r="D5" s="3" t="s">
        <v>8</v>
      </c>
      <c r="E5" s="10">
        <v>46220</v>
      </c>
      <c r="F5" s="1"/>
      <c r="G5" s="6" t="s">
        <v>9</v>
      </c>
      <c r="H5" s="7">
        <f>H3*45%</f>
        <v>37.35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9">
        <f>E3+(H4*15%)</f>
        <v>46133.847500000003</v>
      </c>
      <c r="D9" s="9">
        <f>E3+(H4*40%)</f>
        <v>46145.26</v>
      </c>
      <c r="E9" s="9">
        <f>E3+(H4*15%)</f>
        <v>46133.847500000003</v>
      </c>
      <c r="F9" s="9">
        <f>E3+(H4*50%)</f>
        <v>46149.824999999997</v>
      </c>
      <c r="G9" s="9">
        <f>E3+(H4*25%)</f>
        <v>46138.412499999999</v>
      </c>
      <c r="H9" s="9">
        <f>E3+(H4*60%)</f>
        <v>46154.39</v>
      </c>
      <c r="I9" s="9">
        <f>E3+(H4*63%)</f>
        <v>46155.7595</v>
      </c>
      <c r="J9" s="9">
        <f>E3+(H4*70%)</f>
        <v>46158.955000000002</v>
      </c>
      <c r="K9" s="9">
        <f>E3+(H4*80%)</f>
        <v>46163.519999999997</v>
      </c>
      <c r="L9" s="9">
        <f>E3+(H4*95%)</f>
        <v>46170.3675</v>
      </c>
      <c r="M9" s="19">
        <f>E3+(H4*85%)</f>
        <v>46165.802499999998</v>
      </c>
      <c r="N9" s="19">
        <f>E3+(H4*105%)</f>
        <v>46174.932500000003</v>
      </c>
      <c r="O9" s="9">
        <f>E3+(H4*100%)</f>
        <v>46172.65</v>
      </c>
    </row>
    <row r="10" spans="1:15" ht="22.5" customHeight="1">
      <c r="A10" s="17"/>
      <c r="B10" s="20" t="s">
        <v>25</v>
      </c>
      <c r="C10" s="21" t="s">
        <v>26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22.5" customHeight="1">
      <c r="A11" s="22"/>
      <c r="B11" s="18" t="s">
        <v>27</v>
      </c>
      <c r="C11" s="23" t="s">
        <v>28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>
      <c r="B12" s="2"/>
    </row>
    <row r="13" spans="1:15" ht="30">
      <c r="A13" s="24" t="s">
        <v>29</v>
      </c>
      <c r="B13" s="25"/>
      <c r="C13" s="26" t="s">
        <v>30</v>
      </c>
      <c r="D13" s="26" t="s">
        <v>31</v>
      </c>
      <c r="E13" s="26" t="s">
        <v>32</v>
      </c>
      <c r="F13" s="26" t="s">
        <v>33</v>
      </c>
      <c r="G13" s="16" t="s">
        <v>34</v>
      </c>
      <c r="H13" s="16" t="s">
        <v>35</v>
      </c>
      <c r="I13" s="26" t="s">
        <v>36</v>
      </c>
      <c r="J13" s="26" t="s">
        <v>37</v>
      </c>
      <c r="K13" s="26" t="s">
        <v>38</v>
      </c>
      <c r="L13" s="26" t="s">
        <v>39</v>
      </c>
      <c r="M13" s="26" t="s">
        <v>40</v>
      </c>
      <c r="N13" s="26" t="s">
        <v>41</v>
      </c>
    </row>
    <row r="14" spans="1:15" ht="22.5" customHeight="1">
      <c r="A14" s="24"/>
      <c r="B14" s="18" t="s">
        <v>24</v>
      </c>
      <c r="C14" s="27">
        <f>E3+(H4*4%)</f>
        <v>46128.826000000001</v>
      </c>
      <c r="D14" s="27">
        <f>E3+(H4*10%)</f>
        <v>46131.565000000002</v>
      </c>
      <c r="E14" s="27">
        <f>E3+(H4*10%)</f>
        <v>46131.565000000002</v>
      </c>
      <c r="F14" s="27">
        <f>E3+(H4*13%)</f>
        <v>46132.934500000003</v>
      </c>
      <c r="G14" s="19">
        <f>E3+(H4*25%)</f>
        <v>46138.412499999999</v>
      </c>
      <c r="H14" s="19">
        <f>E3+(H4*30%)</f>
        <v>46140.695</v>
      </c>
      <c r="I14" s="19">
        <f>E3+(H4*48%)</f>
        <v>46148.911999999997</v>
      </c>
      <c r="J14" s="19">
        <f>E3+(H4*50%)</f>
        <v>46149.824999999997</v>
      </c>
      <c r="K14" s="19">
        <f>E3+(H4*78%)</f>
        <v>46162.607000000004</v>
      </c>
      <c r="L14" s="19">
        <f>E3+(H4*78%)</f>
        <v>46162.607000000004</v>
      </c>
      <c r="M14" s="19">
        <f>E3+(H4*83%)</f>
        <v>46164.889499999997</v>
      </c>
      <c r="N14" s="9">
        <f>E3+(H4*85%)</f>
        <v>46165.802499999998</v>
      </c>
    </row>
    <row r="15" spans="1:15" ht="22.5" customHeight="1">
      <c r="A15" s="24"/>
      <c r="B15" s="20" t="s">
        <v>42</v>
      </c>
      <c r="C15" s="21" t="s">
        <v>43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8"/>
    </row>
    <row r="16" spans="1:15" ht="22.5" customHeight="1">
      <c r="A16" s="24"/>
      <c r="B16" s="18" t="s">
        <v>27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5">
      <c r="B17" s="2"/>
    </row>
    <row r="18" spans="1:15" ht="30">
      <c r="A18" s="30" t="s">
        <v>44</v>
      </c>
      <c r="B18" s="15"/>
      <c r="C18" s="31" t="s">
        <v>23</v>
      </c>
      <c r="D18" s="26" t="s">
        <v>45</v>
      </c>
      <c r="E18" s="26" t="s">
        <v>46</v>
      </c>
      <c r="F18" s="26" t="s">
        <v>47</v>
      </c>
      <c r="G18" s="26" t="s">
        <v>48</v>
      </c>
      <c r="H18" s="16" t="s">
        <v>49</v>
      </c>
      <c r="I18" s="26" t="s">
        <v>50</v>
      </c>
      <c r="J18" s="26" t="s">
        <v>51</v>
      </c>
      <c r="K18" s="26" t="s">
        <v>52</v>
      </c>
      <c r="L18" s="26" t="s">
        <v>53</v>
      </c>
    </row>
    <row r="19" spans="1:15" ht="22.5" customHeight="1">
      <c r="A19" s="30"/>
      <c r="B19" s="7" t="s">
        <v>24</v>
      </c>
      <c r="C19" s="19">
        <f>E3+(H4*100%)</f>
        <v>46172.65</v>
      </c>
      <c r="D19" s="19">
        <f>O9+3</f>
        <v>46175.65</v>
      </c>
      <c r="E19" s="19">
        <f>G19-5</f>
        <v>46194</v>
      </c>
      <c r="F19" s="19">
        <f>D19+5</f>
        <v>46180.65</v>
      </c>
      <c r="G19" s="19">
        <f>I19-3</f>
        <v>46199</v>
      </c>
      <c r="H19" s="19">
        <f>F19+5</f>
        <v>46185.65</v>
      </c>
      <c r="I19" s="19">
        <f>K19-4</f>
        <v>46202</v>
      </c>
      <c r="J19" s="19">
        <f>H19+10</f>
        <v>46195.65</v>
      </c>
      <c r="K19" s="19">
        <f>L19-1</f>
        <v>46206</v>
      </c>
      <c r="L19" s="19">
        <f>E4-3</f>
        <v>46207</v>
      </c>
    </row>
    <row r="20" spans="1:15" ht="22.5" customHeight="1">
      <c r="A20" s="3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2"/>
      <c r="N20" s="28"/>
      <c r="O20" s="28"/>
    </row>
    <row r="21" spans="1:15" ht="22.5" customHeight="1">
      <c r="A21" s="30"/>
      <c r="B21" s="7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activeCell="B14" sqref="B14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46133</v>
      </c>
      <c r="D3" s="3" t="s">
        <v>2</v>
      </c>
      <c r="E3" s="5">
        <v>46127</v>
      </c>
      <c r="F3" s="1"/>
      <c r="G3" s="6" t="s">
        <v>3</v>
      </c>
      <c r="H3" s="7">
        <f>E4-E3</f>
        <v>83</v>
      </c>
      <c r="I3" s="1"/>
      <c r="J3" s="1"/>
      <c r="K3" s="1"/>
      <c r="L3" s="1"/>
    </row>
    <row r="4" spans="1:15">
      <c r="A4" s="3" t="s">
        <v>4</v>
      </c>
      <c r="B4" s="8">
        <v>63305</v>
      </c>
      <c r="D4" s="3" t="s">
        <v>5</v>
      </c>
      <c r="E4" s="9">
        <v>46210</v>
      </c>
      <c r="G4" s="6" t="s">
        <v>6</v>
      </c>
      <c r="H4" s="7">
        <f>H3*55%</f>
        <v>45.650000000000006</v>
      </c>
      <c r="I4" s="1"/>
      <c r="J4" s="1"/>
      <c r="K4" s="1"/>
      <c r="L4" s="1"/>
    </row>
    <row r="5" spans="1:15">
      <c r="A5" s="3" t="s">
        <v>7</v>
      </c>
      <c r="B5" s="8">
        <v>5103</v>
      </c>
      <c r="D5" s="3" t="s">
        <v>8</v>
      </c>
      <c r="E5" s="10">
        <v>46220</v>
      </c>
      <c r="F5" s="1"/>
      <c r="G5" s="6" t="s">
        <v>9</v>
      </c>
      <c r="H5" s="7">
        <f>H3*45%</f>
        <v>37.35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9">
        <f>E3+(H4*15%)</f>
        <v>46133.847500000003</v>
      </c>
      <c r="D9" s="9">
        <f>E3+(H4*40%)</f>
        <v>46145.26</v>
      </c>
      <c r="E9" s="9">
        <f>E3+(H4*15%)</f>
        <v>46133.847500000003</v>
      </c>
      <c r="F9" s="9">
        <f>E3+(H4*50%)</f>
        <v>46149.824999999997</v>
      </c>
      <c r="G9" s="9">
        <f>E3+(H4*25%)</f>
        <v>46138.412499999999</v>
      </c>
      <c r="H9" s="9">
        <f>E3+(H4*60%)</f>
        <v>46154.39</v>
      </c>
      <c r="I9" s="9">
        <f>E3+(H4*63%)</f>
        <v>46155.7595</v>
      </c>
      <c r="J9" s="9">
        <f>E3+(H4*70%)</f>
        <v>46158.955000000002</v>
      </c>
      <c r="K9" s="9">
        <f>E3+(H4*80%)</f>
        <v>46163.519999999997</v>
      </c>
      <c r="L9" s="9">
        <f>E3+(H4*95%)</f>
        <v>46170.3675</v>
      </c>
      <c r="M9" s="19">
        <f>E3+(H4*85%)</f>
        <v>46165.802499999998</v>
      </c>
      <c r="N9" s="19">
        <f>E3+(H4*105%)</f>
        <v>46174.932500000003</v>
      </c>
      <c r="O9" s="9">
        <f>E3+(H4*100%)</f>
        <v>46172.65</v>
      </c>
    </row>
    <row r="10" spans="1:15" ht="22.5" customHeight="1">
      <c r="A10" s="17"/>
      <c r="B10" s="20" t="s">
        <v>25</v>
      </c>
      <c r="C10" s="21" t="s">
        <v>26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22.5" customHeight="1">
      <c r="A11" s="22"/>
      <c r="B11" s="18" t="s">
        <v>27</v>
      </c>
      <c r="C11" s="23" t="s">
        <v>28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>
      <c r="B12" s="2"/>
    </row>
    <row r="13" spans="1:15" ht="30">
      <c r="A13" s="24" t="s">
        <v>29</v>
      </c>
      <c r="B13" s="25"/>
      <c r="C13" s="26" t="s">
        <v>30</v>
      </c>
      <c r="D13" s="26" t="s">
        <v>31</v>
      </c>
      <c r="E13" s="26" t="s">
        <v>32</v>
      </c>
      <c r="F13" s="26" t="s">
        <v>33</v>
      </c>
      <c r="G13" s="16" t="s">
        <v>34</v>
      </c>
      <c r="H13" s="16" t="s">
        <v>35</v>
      </c>
      <c r="I13" s="26" t="s">
        <v>36</v>
      </c>
      <c r="J13" s="26" t="s">
        <v>37</v>
      </c>
      <c r="K13" s="26" t="s">
        <v>38</v>
      </c>
      <c r="L13" s="26" t="s">
        <v>39</v>
      </c>
      <c r="M13" s="26" t="s">
        <v>40</v>
      </c>
      <c r="N13" s="26" t="s">
        <v>41</v>
      </c>
    </row>
    <row r="14" spans="1:15" ht="22.5" customHeight="1">
      <c r="A14" s="24"/>
      <c r="B14" s="18" t="s">
        <v>24</v>
      </c>
      <c r="C14" s="27">
        <f>E3+(H4*4%)</f>
        <v>46128.826000000001</v>
      </c>
      <c r="D14" s="27">
        <f>E3+(H4*10%)</f>
        <v>46131.565000000002</v>
      </c>
      <c r="E14" s="27">
        <f>E3+(H4*10%)</f>
        <v>46131.565000000002</v>
      </c>
      <c r="F14" s="27">
        <f>E3+(H4*13%)</f>
        <v>46132.934500000003</v>
      </c>
      <c r="G14" s="19">
        <f>E3+(H4*25%)</f>
        <v>46138.412499999999</v>
      </c>
      <c r="H14" s="19">
        <f>E3+(H4*30%)</f>
        <v>46140.695</v>
      </c>
      <c r="I14" s="19">
        <f>E3+(H4*48%)</f>
        <v>46148.911999999997</v>
      </c>
      <c r="J14" s="19">
        <f>E3+(H4*50%)</f>
        <v>46149.824999999997</v>
      </c>
      <c r="K14" s="19">
        <f>E3+(H4*78%)</f>
        <v>46162.607000000004</v>
      </c>
      <c r="L14" s="19">
        <f>E3+(H4*78%)</f>
        <v>46162.607000000004</v>
      </c>
      <c r="M14" s="19">
        <f>E3+(H4*83%)</f>
        <v>46164.889499999997</v>
      </c>
      <c r="N14" s="9">
        <f>E3+(H4*85%)</f>
        <v>46165.802499999998</v>
      </c>
    </row>
    <row r="15" spans="1:15" ht="22.5" customHeight="1">
      <c r="A15" s="24"/>
      <c r="B15" s="20" t="s">
        <v>42</v>
      </c>
      <c r="C15" s="21" t="s">
        <v>43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8"/>
    </row>
    <row r="16" spans="1:15" ht="22.5" customHeight="1">
      <c r="A16" s="24"/>
      <c r="B16" s="18" t="s">
        <v>27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5">
      <c r="B17" s="2"/>
    </row>
    <row r="18" spans="1:15" ht="30">
      <c r="A18" s="30" t="s">
        <v>44</v>
      </c>
      <c r="B18" s="15"/>
      <c r="C18" s="31" t="s">
        <v>23</v>
      </c>
      <c r="D18" s="26" t="s">
        <v>45</v>
      </c>
      <c r="E18" s="26" t="s">
        <v>46</v>
      </c>
      <c r="F18" s="26" t="s">
        <v>47</v>
      </c>
      <c r="G18" s="26" t="s">
        <v>48</v>
      </c>
      <c r="H18" s="16" t="s">
        <v>49</v>
      </c>
      <c r="I18" s="26" t="s">
        <v>50</v>
      </c>
      <c r="J18" s="26" t="s">
        <v>51</v>
      </c>
      <c r="K18" s="26" t="s">
        <v>52</v>
      </c>
      <c r="L18" s="26" t="s">
        <v>53</v>
      </c>
    </row>
    <row r="19" spans="1:15" ht="22.5" customHeight="1">
      <c r="A19" s="30"/>
      <c r="B19" s="7" t="s">
        <v>24</v>
      </c>
      <c r="C19" s="19">
        <f>E3+(H4*100%)</f>
        <v>46172.65</v>
      </c>
      <c r="D19" s="19">
        <f>O9+3</f>
        <v>46175.65</v>
      </c>
      <c r="E19" s="19">
        <f>G19-5</f>
        <v>46194</v>
      </c>
      <c r="F19" s="19">
        <f>D19+5</f>
        <v>46180.65</v>
      </c>
      <c r="G19" s="19">
        <f>I19-3</f>
        <v>46199</v>
      </c>
      <c r="H19" s="19">
        <f>F19+5</f>
        <v>46185.65</v>
      </c>
      <c r="I19" s="19">
        <f>K19-4</f>
        <v>46202</v>
      </c>
      <c r="J19" s="19">
        <f>H19+10</f>
        <v>46195.65</v>
      </c>
      <c r="K19" s="19">
        <f>L19-1</f>
        <v>46206</v>
      </c>
      <c r="L19" s="19">
        <f>E4-3</f>
        <v>46207</v>
      </c>
    </row>
    <row r="20" spans="1:15" ht="22.5" customHeight="1">
      <c r="A20" s="3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2"/>
      <c r="N20" s="28"/>
      <c r="O20" s="28"/>
    </row>
    <row r="21" spans="1:15" ht="22.5" customHeight="1">
      <c r="A21" s="30"/>
      <c r="B21" s="7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activeCell="C16" sqref="C1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46133</v>
      </c>
      <c r="D3" s="3" t="s">
        <v>2</v>
      </c>
      <c r="E3" s="5">
        <v>46127</v>
      </c>
      <c r="F3" s="1"/>
      <c r="G3" s="6" t="s">
        <v>3</v>
      </c>
      <c r="H3" s="7">
        <f>E4-E3</f>
        <v>83</v>
      </c>
      <c r="I3" s="1"/>
      <c r="J3" s="1"/>
      <c r="K3" s="1"/>
      <c r="L3" s="1"/>
    </row>
    <row r="4" spans="1:15">
      <c r="A4" s="3" t="s">
        <v>4</v>
      </c>
      <c r="B4" s="8">
        <v>63306</v>
      </c>
      <c r="D4" s="3" t="s">
        <v>5</v>
      </c>
      <c r="E4" s="9">
        <v>46210</v>
      </c>
      <c r="G4" s="6" t="s">
        <v>6</v>
      </c>
      <c r="H4" s="7">
        <f>H3*55%</f>
        <v>45.650000000000006</v>
      </c>
      <c r="I4" s="1"/>
      <c r="J4" s="1"/>
      <c r="K4" s="1"/>
      <c r="L4" s="1"/>
    </row>
    <row r="5" spans="1:15">
      <c r="A5" s="3" t="s">
        <v>7</v>
      </c>
      <c r="B5" s="8">
        <v>12704</v>
      </c>
      <c r="D5" s="3" t="s">
        <v>8</v>
      </c>
      <c r="E5" s="10">
        <v>46220</v>
      </c>
      <c r="F5" s="1"/>
      <c r="G5" s="6" t="s">
        <v>9</v>
      </c>
      <c r="H5" s="7">
        <f>H3*45%</f>
        <v>37.35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9">
        <f>E3+(H4*15%)</f>
        <v>46133.847500000003</v>
      </c>
      <c r="D9" s="9">
        <f>E3+(H4*40%)</f>
        <v>46145.26</v>
      </c>
      <c r="E9" s="9">
        <f>E3+(H4*15%)</f>
        <v>46133.847500000003</v>
      </c>
      <c r="F9" s="9">
        <f>E3+(H4*50%)</f>
        <v>46149.824999999997</v>
      </c>
      <c r="G9" s="9">
        <f>E3+(H4*25%)</f>
        <v>46138.412499999999</v>
      </c>
      <c r="H9" s="9">
        <f>E3+(H4*60%)</f>
        <v>46154.39</v>
      </c>
      <c r="I9" s="9">
        <f>E3+(H4*63%)</f>
        <v>46155.7595</v>
      </c>
      <c r="J9" s="9">
        <f>E3+(H4*70%)</f>
        <v>46158.955000000002</v>
      </c>
      <c r="K9" s="9">
        <f>E3+(H4*80%)</f>
        <v>46163.519999999997</v>
      </c>
      <c r="L9" s="9">
        <f>E3+(H4*95%)</f>
        <v>46170.3675</v>
      </c>
      <c r="M9" s="19">
        <f>E3+(H4*85%)</f>
        <v>46165.802499999998</v>
      </c>
      <c r="N9" s="19">
        <f>E3+(H4*105%)</f>
        <v>46174.932500000003</v>
      </c>
      <c r="O9" s="9">
        <f>E3+(H4*100%)</f>
        <v>46172.65</v>
      </c>
    </row>
    <row r="10" spans="1:15" ht="22.5" customHeight="1">
      <c r="A10" s="17"/>
      <c r="B10" s="20" t="s">
        <v>25</v>
      </c>
      <c r="C10" s="21" t="s">
        <v>26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22.5" customHeight="1">
      <c r="A11" s="22"/>
      <c r="B11" s="18" t="s">
        <v>27</v>
      </c>
      <c r="C11" s="23" t="s">
        <v>28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>
      <c r="B12" s="2"/>
    </row>
    <row r="13" spans="1:15" ht="30">
      <c r="A13" s="24" t="s">
        <v>29</v>
      </c>
      <c r="B13" s="25"/>
      <c r="C13" s="26" t="s">
        <v>30</v>
      </c>
      <c r="D13" s="26" t="s">
        <v>31</v>
      </c>
      <c r="E13" s="26" t="s">
        <v>32</v>
      </c>
      <c r="F13" s="26" t="s">
        <v>33</v>
      </c>
      <c r="G13" s="16" t="s">
        <v>34</v>
      </c>
      <c r="H13" s="16" t="s">
        <v>35</v>
      </c>
      <c r="I13" s="26" t="s">
        <v>36</v>
      </c>
      <c r="J13" s="26" t="s">
        <v>37</v>
      </c>
      <c r="K13" s="26" t="s">
        <v>38</v>
      </c>
      <c r="L13" s="26" t="s">
        <v>39</v>
      </c>
      <c r="M13" s="26" t="s">
        <v>40</v>
      </c>
      <c r="N13" s="26" t="s">
        <v>41</v>
      </c>
    </row>
    <row r="14" spans="1:15" ht="22.5" customHeight="1">
      <c r="A14" s="24"/>
      <c r="B14" s="18" t="s">
        <v>24</v>
      </c>
      <c r="C14" s="27">
        <f>E3+(H4*4%)</f>
        <v>46128.826000000001</v>
      </c>
      <c r="D14" s="27">
        <f>E3+(H4*10%)</f>
        <v>46131.565000000002</v>
      </c>
      <c r="E14" s="27">
        <f>E3+(H4*10%)</f>
        <v>46131.565000000002</v>
      </c>
      <c r="F14" s="27">
        <f>E3+(H4*13%)</f>
        <v>46132.934500000003</v>
      </c>
      <c r="G14" s="19">
        <f>E3+(H4*25%)</f>
        <v>46138.412499999999</v>
      </c>
      <c r="H14" s="19">
        <f>E3+(H4*30%)</f>
        <v>46140.695</v>
      </c>
      <c r="I14" s="19">
        <f>E3+(H4*48%)</f>
        <v>46148.911999999997</v>
      </c>
      <c r="J14" s="19">
        <f>E3+(H4*50%)</f>
        <v>46149.824999999997</v>
      </c>
      <c r="K14" s="19">
        <f>E3+(H4*78%)</f>
        <v>46162.607000000004</v>
      </c>
      <c r="L14" s="19">
        <f>E3+(H4*78%)</f>
        <v>46162.607000000004</v>
      </c>
      <c r="M14" s="19">
        <f>E3+(H4*83%)</f>
        <v>46164.889499999997</v>
      </c>
      <c r="N14" s="9">
        <f>E3+(H4*85%)</f>
        <v>46165.802499999998</v>
      </c>
    </row>
    <row r="15" spans="1:15" ht="22.5" customHeight="1">
      <c r="A15" s="24"/>
      <c r="B15" s="20" t="s">
        <v>42</v>
      </c>
      <c r="C15" s="21" t="s">
        <v>43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8"/>
    </row>
    <row r="16" spans="1:15" ht="22.5" customHeight="1">
      <c r="A16" s="24"/>
      <c r="B16" s="18" t="s">
        <v>27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5">
      <c r="B17" s="2"/>
    </row>
    <row r="18" spans="1:15" ht="30">
      <c r="A18" s="30" t="s">
        <v>44</v>
      </c>
      <c r="B18" s="15"/>
      <c r="C18" s="31" t="s">
        <v>23</v>
      </c>
      <c r="D18" s="26" t="s">
        <v>45</v>
      </c>
      <c r="E18" s="26" t="s">
        <v>46</v>
      </c>
      <c r="F18" s="26" t="s">
        <v>47</v>
      </c>
      <c r="G18" s="26" t="s">
        <v>48</v>
      </c>
      <c r="H18" s="16" t="s">
        <v>49</v>
      </c>
      <c r="I18" s="26" t="s">
        <v>50</v>
      </c>
      <c r="J18" s="26" t="s">
        <v>51</v>
      </c>
      <c r="K18" s="26" t="s">
        <v>52</v>
      </c>
      <c r="L18" s="26" t="s">
        <v>53</v>
      </c>
    </row>
    <row r="19" spans="1:15" ht="22.5" customHeight="1">
      <c r="A19" s="30"/>
      <c r="B19" s="7" t="s">
        <v>24</v>
      </c>
      <c r="C19" s="19">
        <f>E3+(H4*100%)</f>
        <v>46172.65</v>
      </c>
      <c r="D19" s="19">
        <f>O9+3</f>
        <v>46175.65</v>
      </c>
      <c r="E19" s="19">
        <f>G19-5</f>
        <v>46194</v>
      </c>
      <c r="F19" s="19">
        <f>D19+5</f>
        <v>46180.65</v>
      </c>
      <c r="G19" s="19">
        <f>I19-3</f>
        <v>46199</v>
      </c>
      <c r="H19" s="19">
        <f>F19+5</f>
        <v>46185.65</v>
      </c>
      <c r="I19" s="19">
        <f>K19-4</f>
        <v>46202</v>
      </c>
      <c r="J19" s="19">
        <f>H19+10</f>
        <v>46195.65</v>
      </c>
      <c r="K19" s="19">
        <f>L19-1</f>
        <v>46206</v>
      </c>
      <c r="L19" s="19">
        <f>E4-3</f>
        <v>46207</v>
      </c>
    </row>
    <row r="20" spans="1:15" ht="22.5" customHeight="1">
      <c r="A20" s="3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2"/>
      <c r="N20" s="28"/>
      <c r="O20" s="28"/>
    </row>
    <row r="21" spans="1:15" ht="22.5" customHeight="1">
      <c r="A21" s="30"/>
      <c r="B21" s="7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2"/>
  <sheetViews>
    <sheetView topLeftCell="A10" workbookViewId="0">
      <selection activeCell="E6" sqref="E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46133</v>
      </c>
      <c r="D3" s="3" t="s">
        <v>2</v>
      </c>
      <c r="E3" s="5">
        <v>46127</v>
      </c>
      <c r="F3" s="1"/>
      <c r="G3" s="6" t="s">
        <v>3</v>
      </c>
      <c r="H3" s="7">
        <f>E4-E3</f>
        <v>83</v>
      </c>
      <c r="I3" s="1"/>
      <c r="J3" s="1"/>
      <c r="K3" s="1"/>
      <c r="L3" s="1"/>
    </row>
    <row r="4" spans="1:15">
      <c r="A4" s="3" t="s">
        <v>4</v>
      </c>
      <c r="B4" s="8">
        <v>63315</v>
      </c>
      <c r="D4" s="3" t="s">
        <v>5</v>
      </c>
      <c r="E4" s="9">
        <v>46210</v>
      </c>
      <c r="G4" s="6" t="s">
        <v>6</v>
      </c>
      <c r="H4" s="7">
        <f>H3*55%</f>
        <v>45.650000000000006</v>
      </c>
      <c r="I4" s="1"/>
      <c r="J4" s="1"/>
      <c r="K4" s="1"/>
      <c r="L4" s="1"/>
    </row>
    <row r="5" spans="1:15">
      <c r="A5" s="3" t="s">
        <v>7</v>
      </c>
      <c r="B5" s="8">
        <v>210306</v>
      </c>
      <c r="D5" s="3" t="s">
        <v>8</v>
      </c>
      <c r="E5" s="10">
        <v>46220</v>
      </c>
      <c r="F5" s="1"/>
      <c r="G5" s="6" t="s">
        <v>9</v>
      </c>
      <c r="H5" s="7">
        <f>H3*45%</f>
        <v>37.35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9">
        <f>E3+(H4*15%)</f>
        <v>46133.847500000003</v>
      </c>
      <c r="D9" s="9">
        <f>E3+(H4*40%)</f>
        <v>46145.26</v>
      </c>
      <c r="E9" s="9">
        <f>E3+(H4*15%)</f>
        <v>46133.847500000003</v>
      </c>
      <c r="F9" s="9">
        <f>E3+(H4*50%)</f>
        <v>46149.824999999997</v>
      </c>
      <c r="G9" s="9">
        <f>E3+(H4*25%)</f>
        <v>46138.412499999999</v>
      </c>
      <c r="H9" s="9">
        <f>E3+(H4*60%)</f>
        <v>46154.39</v>
      </c>
      <c r="I9" s="9">
        <f>E3+(H4*63%)</f>
        <v>46155.7595</v>
      </c>
      <c r="J9" s="9">
        <f>E3+(H4*70%)</f>
        <v>46158.955000000002</v>
      </c>
      <c r="K9" s="9">
        <f>E3+(H4*80%)</f>
        <v>46163.519999999997</v>
      </c>
      <c r="L9" s="9">
        <f>E3+(H4*95%)</f>
        <v>46170.3675</v>
      </c>
      <c r="M9" s="19">
        <f>E3+(H4*85%)</f>
        <v>46165.802499999998</v>
      </c>
      <c r="N9" s="19">
        <f>E3+(H4*105%)</f>
        <v>46174.932500000003</v>
      </c>
      <c r="O9" s="9">
        <f>E3+(H4*100%)</f>
        <v>46172.65</v>
      </c>
    </row>
    <row r="10" spans="1:15" ht="22.5" customHeight="1">
      <c r="A10" s="17"/>
      <c r="B10" s="20" t="s">
        <v>25</v>
      </c>
      <c r="C10" s="21" t="s">
        <v>26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22.5" customHeight="1">
      <c r="A11" s="22"/>
      <c r="B11" s="18" t="s">
        <v>27</v>
      </c>
      <c r="C11" s="23" t="s">
        <v>28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>
      <c r="B12" s="2"/>
    </row>
    <row r="13" spans="1:15" ht="30">
      <c r="A13" s="24" t="s">
        <v>29</v>
      </c>
      <c r="B13" s="25"/>
      <c r="C13" s="26" t="s">
        <v>30</v>
      </c>
      <c r="D13" s="26" t="s">
        <v>31</v>
      </c>
      <c r="E13" s="26" t="s">
        <v>32</v>
      </c>
      <c r="F13" s="26" t="s">
        <v>33</v>
      </c>
      <c r="G13" s="16" t="s">
        <v>34</v>
      </c>
      <c r="H13" s="16" t="s">
        <v>35</v>
      </c>
      <c r="I13" s="26" t="s">
        <v>36</v>
      </c>
      <c r="J13" s="26" t="s">
        <v>37</v>
      </c>
      <c r="K13" s="26" t="s">
        <v>38</v>
      </c>
      <c r="L13" s="26" t="s">
        <v>39</v>
      </c>
      <c r="M13" s="26" t="s">
        <v>40</v>
      </c>
      <c r="N13" s="26" t="s">
        <v>41</v>
      </c>
    </row>
    <row r="14" spans="1:15" ht="22.5" customHeight="1">
      <c r="A14" s="24"/>
      <c r="B14" s="18" t="s">
        <v>24</v>
      </c>
      <c r="C14" s="27">
        <f>E3+(H4*4%)</f>
        <v>46128.826000000001</v>
      </c>
      <c r="D14" s="27">
        <f>E3+(H4*10%)</f>
        <v>46131.565000000002</v>
      </c>
      <c r="E14" s="27">
        <f>E3+(H4*10%)</f>
        <v>46131.565000000002</v>
      </c>
      <c r="F14" s="27">
        <f>E3+(H4*13%)</f>
        <v>46132.934500000003</v>
      </c>
      <c r="G14" s="19">
        <f>E3+(H4*25%)</f>
        <v>46138.412499999999</v>
      </c>
      <c r="H14" s="19">
        <f>E3+(H4*30%)</f>
        <v>46140.695</v>
      </c>
      <c r="I14" s="19">
        <f>E3+(H4*48%)</f>
        <v>46148.911999999997</v>
      </c>
      <c r="J14" s="19">
        <f>E3+(H4*50%)</f>
        <v>46149.824999999997</v>
      </c>
      <c r="K14" s="19">
        <f>E3+(H4*78%)</f>
        <v>46162.607000000004</v>
      </c>
      <c r="L14" s="19">
        <f>E3+(H4*78%)</f>
        <v>46162.607000000004</v>
      </c>
      <c r="M14" s="19">
        <f>E3+(H4*83%)</f>
        <v>46164.889499999997</v>
      </c>
      <c r="N14" s="9">
        <f>E3+(H4*85%)</f>
        <v>46165.802499999998</v>
      </c>
    </row>
    <row r="15" spans="1:15" ht="22.5" customHeight="1">
      <c r="A15" s="24"/>
      <c r="B15" s="20" t="s">
        <v>42</v>
      </c>
      <c r="C15" s="21" t="s">
        <v>43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8"/>
    </row>
    <row r="16" spans="1:15" ht="22.5" customHeight="1">
      <c r="A16" s="24"/>
      <c r="B16" s="18" t="s">
        <v>27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5">
      <c r="B17" s="2"/>
    </row>
    <row r="18" spans="1:15" ht="30">
      <c r="A18" s="30" t="s">
        <v>44</v>
      </c>
      <c r="B18" s="15"/>
      <c r="C18" s="31" t="s">
        <v>23</v>
      </c>
      <c r="D18" s="26" t="s">
        <v>45</v>
      </c>
      <c r="E18" s="26" t="s">
        <v>46</v>
      </c>
      <c r="F18" s="26" t="s">
        <v>47</v>
      </c>
      <c r="G18" s="26" t="s">
        <v>48</v>
      </c>
      <c r="H18" s="16" t="s">
        <v>49</v>
      </c>
      <c r="I18" s="26" t="s">
        <v>50</v>
      </c>
      <c r="J18" s="26" t="s">
        <v>51</v>
      </c>
      <c r="K18" s="26" t="s">
        <v>52</v>
      </c>
      <c r="L18" s="26" t="s">
        <v>53</v>
      </c>
    </row>
    <row r="19" spans="1:15" ht="22.5" customHeight="1">
      <c r="A19" s="30"/>
      <c r="B19" s="7" t="s">
        <v>24</v>
      </c>
      <c r="C19" s="19">
        <f>E3+(H4*100%)</f>
        <v>46172.65</v>
      </c>
      <c r="D19" s="19">
        <f>O9+3</f>
        <v>46175.65</v>
      </c>
      <c r="E19" s="19">
        <f>G19-5</f>
        <v>46194</v>
      </c>
      <c r="F19" s="19">
        <f>D19+5</f>
        <v>46180.65</v>
      </c>
      <c r="G19" s="19">
        <f>I19-3</f>
        <v>46199</v>
      </c>
      <c r="H19" s="19">
        <f>F19+5</f>
        <v>46185.65</v>
      </c>
      <c r="I19" s="19">
        <f>K19-4</f>
        <v>46202</v>
      </c>
      <c r="J19" s="19">
        <f>H19+10</f>
        <v>46195.65</v>
      </c>
      <c r="K19" s="19">
        <f>L19-1</f>
        <v>46206</v>
      </c>
      <c r="L19" s="19">
        <f>E4-3</f>
        <v>46207</v>
      </c>
    </row>
    <row r="20" spans="1:15" ht="22.5" customHeight="1">
      <c r="A20" s="3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2"/>
      <c r="N20" s="28"/>
      <c r="O20" s="28"/>
    </row>
    <row r="21" spans="1:15" ht="22.5" customHeight="1">
      <c r="A21" s="30"/>
      <c r="B21" s="7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>
      <selection activeCell="F16" sqref="F1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46133</v>
      </c>
      <c r="D3" s="3" t="s">
        <v>2</v>
      </c>
      <c r="E3" s="5">
        <v>46127</v>
      </c>
      <c r="F3" s="1"/>
      <c r="G3" s="6" t="s">
        <v>3</v>
      </c>
      <c r="H3" s="7">
        <f>E4-E3</f>
        <v>83</v>
      </c>
      <c r="I3" s="1"/>
      <c r="J3" s="1"/>
      <c r="K3" s="1"/>
      <c r="L3" s="1"/>
    </row>
    <row r="4" spans="1:15">
      <c r="A4" s="3" t="s">
        <v>4</v>
      </c>
      <c r="B4" s="8">
        <v>63308</v>
      </c>
      <c r="D4" s="3" t="s">
        <v>5</v>
      </c>
      <c r="E4" s="9">
        <v>46210</v>
      </c>
      <c r="G4" s="6" t="s">
        <v>6</v>
      </c>
      <c r="H4" s="7">
        <f>H3*55%</f>
        <v>45.650000000000006</v>
      </c>
      <c r="I4" s="1"/>
      <c r="J4" s="1"/>
      <c r="K4" s="1"/>
      <c r="L4" s="1"/>
    </row>
    <row r="5" spans="1:15">
      <c r="A5" s="3" t="s">
        <v>7</v>
      </c>
      <c r="B5" s="8">
        <v>6909</v>
      </c>
      <c r="D5" s="3" t="s">
        <v>8</v>
      </c>
      <c r="E5" s="10">
        <v>46220</v>
      </c>
      <c r="F5" s="1"/>
      <c r="G5" s="6" t="s">
        <v>9</v>
      </c>
      <c r="H5" s="7">
        <f>H3*45%</f>
        <v>37.35</v>
      </c>
      <c r="I5" s="1"/>
      <c r="J5" s="1"/>
      <c r="K5" s="1"/>
      <c r="L5" s="1"/>
      <c r="O5" s="11"/>
    </row>
    <row r="6" spans="1:15">
      <c r="A6" s="12"/>
      <c r="B6" s="13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2"/>
      <c r="B7" s="1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4" t="s">
        <v>10</v>
      </c>
      <c r="B8" s="15"/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21</v>
      </c>
      <c r="N8" s="16" t="s">
        <v>22</v>
      </c>
      <c r="O8" s="16" t="s">
        <v>23</v>
      </c>
    </row>
    <row r="9" spans="1:15" ht="22.5" customHeight="1">
      <c r="A9" s="17"/>
      <c r="B9" s="18" t="s">
        <v>24</v>
      </c>
      <c r="C9" s="9">
        <f>E3+(H4*15%)</f>
        <v>46133.847500000003</v>
      </c>
      <c r="D9" s="9">
        <f>E3+(H4*40%)</f>
        <v>46145.26</v>
      </c>
      <c r="E9" s="9">
        <f>E3+(H4*15%)</f>
        <v>46133.847500000003</v>
      </c>
      <c r="F9" s="9">
        <f>E3+(H4*50%)</f>
        <v>46149.824999999997</v>
      </c>
      <c r="G9" s="9">
        <f>E3+(H4*25%)</f>
        <v>46138.412499999999</v>
      </c>
      <c r="H9" s="9">
        <f>E3+(H4*60%)</f>
        <v>46154.39</v>
      </c>
      <c r="I9" s="9">
        <f>E3+(H4*63%)</f>
        <v>46155.7595</v>
      </c>
      <c r="J9" s="9">
        <f>E3+(H4*70%)</f>
        <v>46158.955000000002</v>
      </c>
      <c r="K9" s="9">
        <f>E3+(H4*80%)</f>
        <v>46163.519999999997</v>
      </c>
      <c r="L9" s="9">
        <f>E3+(H4*95%)</f>
        <v>46170.3675</v>
      </c>
      <c r="M9" s="19">
        <f>E3+(H4*85%)</f>
        <v>46165.802499999998</v>
      </c>
      <c r="N9" s="19">
        <f>E3+(H4*105%)</f>
        <v>46174.932500000003</v>
      </c>
      <c r="O9" s="9">
        <f>E3+(H4*100%)</f>
        <v>46172.65</v>
      </c>
    </row>
    <row r="10" spans="1:15" ht="22.5" customHeight="1">
      <c r="A10" s="17"/>
      <c r="B10" s="20" t="s">
        <v>25</v>
      </c>
      <c r="C10" s="21" t="s">
        <v>26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22.5" customHeight="1">
      <c r="A11" s="22"/>
      <c r="B11" s="18" t="s">
        <v>27</v>
      </c>
      <c r="C11" s="23" t="s">
        <v>28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>
      <c r="B12" s="2"/>
    </row>
    <row r="13" spans="1:15" ht="30">
      <c r="A13" s="24" t="s">
        <v>29</v>
      </c>
      <c r="B13" s="25"/>
      <c r="C13" s="26" t="s">
        <v>30</v>
      </c>
      <c r="D13" s="26" t="s">
        <v>31</v>
      </c>
      <c r="E13" s="26" t="s">
        <v>32</v>
      </c>
      <c r="F13" s="26" t="s">
        <v>33</v>
      </c>
      <c r="G13" s="16" t="s">
        <v>34</v>
      </c>
      <c r="H13" s="16" t="s">
        <v>35</v>
      </c>
      <c r="I13" s="26" t="s">
        <v>36</v>
      </c>
      <c r="J13" s="26" t="s">
        <v>37</v>
      </c>
      <c r="K13" s="26" t="s">
        <v>38</v>
      </c>
      <c r="L13" s="26" t="s">
        <v>39</v>
      </c>
      <c r="M13" s="26" t="s">
        <v>40</v>
      </c>
      <c r="N13" s="26" t="s">
        <v>41</v>
      </c>
    </row>
    <row r="14" spans="1:15" ht="22.5" customHeight="1">
      <c r="A14" s="24"/>
      <c r="B14" s="18" t="s">
        <v>24</v>
      </c>
      <c r="C14" s="27">
        <f>E3+(H4*4%)</f>
        <v>46128.826000000001</v>
      </c>
      <c r="D14" s="27">
        <f>E3+(H4*10%)</f>
        <v>46131.565000000002</v>
      </c>
      <c r="E14" s="27">
        <f>E3+(H4*10%)</f>
        <v>46131.565000000002</v>
      </c>
      <c r="F14" s="27">
        <f>E3+(H4*13%)</f>
        <v>46132.934500000003</v>
      </c>
      <c r="G14" s="19">
        <f>E3+(H4*25%)</f>
        <v>46138.412499999999</v>
      </c>
      <c r="H14" s="19">
        <f>E3+(H4*30%)</f>
        <v>46140.695</v>
      </c>
      <c r="I14" s="19">
        <f>E3+(H4*48%)</f>
        <v>46148.911999999997</v>
      </c>
      <c r="J14" s="19">
        <f>E3+(H4*50%)</f>
        <v>46149.824999999997</v>
      </c>
      <c r="K14" s="19">
        <f>E3+(H4*78%)</f>
        <v>46162.607000000004</v>
      </c>
      <c r="L14" s="19">
        <f>E3+(H4*78%)</f>
        <v>46162.607000000004</v>
      </c>
      <c r="M14" s="19">
        <f>E3+(H4*83%)</f>
        <v>46164.889499999997</v>
      </c>
      <c r="N14" s="9">
        <f>E3+(H4*85%)</f>
        <v>46165.802499999998</v>
      </c>
    </row>
    <row r="15" spans="1:15" ht="22.5" customHeight="1">
      <c r="A15" s="24"/>
      <c r="B15" s="20" t="s">
        <v>42</v>
      </c>
      <c r="C15" s="21" t="s">
        <v>43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8"/>
    </row>
    <row r="16" spans="1:15" ht="22.5" customHeight="1">
      <c r="A16" s="24"/>
      <c r="B16" s="18" t="s">
        <v>27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5">
      <c r="B17" s="2"/>
    </row>
    <row r="18" spans="1:15" ht="30">
      <c r="A18" s="30" t="s">
        <v>44</v>
      </c>
      <c r="B18" s="15"/>
      <c r="C18" s="31" t="s">
        <v>23</v>
      </c>
      <c r="D18" s="26" t="s">
        <v>45</v>
      </c>
      <c r="E18" s="26" t="s">
        <v>46</v>
      </c>
      <c r="F18" s="26" t="s">
        <v>47</v>
      </c>
      <c r="G18" s="26" t="s">
        <v>48</v>
      </c>
      <c r="H18" s="16" t="s">
        <v>49</v>
      </c>
      <c r="I18" s="26" t="s">
        <v>50</v>
      </c>
      <c r="J18" s="26" t="s">
        <v>51</v>
      </c>
      <c r="K18" s="26" t="s">
        <v>52</v>
      </c>
      <c r="L18" s="26" t="s">
        <v>53</v>
      </c>
    </row>
    <row r="19" spans="1:15" ht="22.5" customHeight="1">
      <c r="A19" s="30"/>
      <c r="B19" s="7" t="s">
        <v>24</v>
      </c>
      <c r="C19" s="19">
        <f>E3+(H4*100%)</f>
        <v>46172.65</v>
      </c>
      <c r="D19" s="19">
        <f>O9+3</f>
        <v>46175.65</v>
      </c>
      <c r="E19" s="19">
        <f>G19-5</f>
        <v>46194</v>
      </c>
      <c r="F19" s="19">
        <f>D19+5</f>
        <v>46180.65</v>
      </c>
      <c r="G19" s="19">
        <f>I19-3</f>
        <v>46199</v>
      </c>
      <c r="H19" s="19">
        <f>F19+5</f>
        <v>46185.65</v>
      </c>
      <c r="I19" s="19">
        <f>K19-4</f>
        <v>46202</v>
      </c>
      <c r="J19" s="19">
        <f>H19+10</f>
        <v>46195.65</v>
      </c>
      <c r="K19" s="19">
        <f>L19-1</f>
        <v>46206</v>
      </c>
      <c r="L19" s="19">
        <f>E4-3</f>
        <v>46207</v>
      </c>
    </row>
    <row r="20" spans="1:15" ht="22.5" customHeight="1">
      <c r="A20" s="3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2"/>
      <c r="N20" s="28"/>
      <c r="O20" s="28"/>
    </row>
    <row r="21" spans="1:15" ht="22.5" customHeight="1">
      <c r="A21" s="30"/>
      <c r="B21" s="7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63309</vt:lpstr>
      <vt:lpstr>63305</vt:lpstr>
      <vt:lpstr>63306</vt:lpstr>
      <vt:lpstr>63315</vt:lpstr>
      <vt:lpstr>63308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EM2013</dc:creator>
  <cp:lastModifiedBy>EM2013</cp:lastModifiedBy>
  <dcterms:created xsi:type="dcterms:W3CDTF">2026-04-21T04:42:33Z</dcterms:created>
  <dcterms:modified xsi:type="dcterms:W3CDTF">2026-04-21T04:53:10Z</dcterms:modified>
</cp:coreProperties>
</file>